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D:\Exam papers (updated Nov 2025)\CIE 9231 papers (FM)\"/>
    </mc:Choice>
  </mc:AlternateContent>
  <xr:revisionPtr revIDLastSave="0" documentId="13_ncr:1_{6F2A04B8-CFC9-46E9-B07C-CD084FF05B4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6" i="1" l="1"/>
  <c r="E56" i="1"/>
  <c r="C56" i="1"/>
  <c r="G48" i="1"/>
  <c r="E48" i="1"/>
  <c r="C48" i="1"/>
  <c r="K20" i="1"/>
  <c r="I20" i="1"/>
  <c r="G20" i="1"/>
  <c r="E20" i="1"/>
  <c r="C20" i="1"/>
  <c r="E28" i="1"/>
  <c r="G28" i="1"/>
  <c r="C28" i="1"/>
  <c r="I56" i="1"/>
  <c r="M48" i="1"/>
  <c r="K48" i="1"/>
  <c r="I48" i="1"/>
  <c r="O48" i="1"/>
  <c r="O56" i="1"/>
  <c r="M56" i="1"/>
  <c r="O28" i="1"/>
  <c r="M28" i="1"/>
  <c r="O20" i="1"/>
  <c r="M20" i="1"/>
  <c r="Y48" i="1"/>
  <c r="AA48" i="1"/>
  <c r="Y56" i="1"/>
  <c r="K56" i="1"/>
  <c r="Q56" i="1"/>
  <c r="S56" i="1"/>
  <c r="U56" i="1"/>
  <c r="W56" i="1"/>
  <c r="AA56" i="1"/>
  <c r="Q20" i="1"/>
  <c r="S20" i="1"/>
  <c r="U20" i="1"/>
  <c r="W20" i="1"/>
  <c r="Y20" i="1"/>
  <c r="AA20" i="1"/>
  <c r="I28" i="1"/>
  <c r="K28" i="1"/>
  <c r="Q28" i="1"/>
  <c r="S28" i="1"/>
  <c r="U28" i="1"/>
  <c r="W28" i="1"/>
  <c r="Y28" i="1"/>
  <c r="AA28" i="1"/>
  <c r="Q48" i="1"/>
  <c r="S48" i="1"/>
  <c r="U48" i="1"/>
  <c r="W48" i="1"/>
  <c r="AC20" i="1"/>
  <c r="AE20" i="1"/>
  <c r="AG20" i="1"/>
  <c r="AI20" i="1"/>
  <c r="AK20" i="1"/>
  <c r="AM20" i="1"/>
  <c r="AO20" i="1"/>
  <c r="AQ20" i="1"/>
  <c r="AS20" i="1"/>
  <c r="AU20" i="1"/>
  <c r="AW20" i="1"/>
  <c r="AY20" i="1"/>
  <c r="BA20" i="1"/>
  <c r="BC20" i="1"/>
  <c r="BE20" i="1"/>
  <c r="BC48" i="1"/>
  <c r="BG20" i="1"/>
  <c r="BI20" i="1"/>
  <c r="BK20" i="1"/>
  <c r="BM20" i="1"/>
  <c r="BO20" i="1"/>
  <c r="BQ20" i="1"/>
  <c r="BS20" i="1"/>
  <c r="BU20" i="1"/>
  <c r="BW20" i="1"/>
  <c r="BY20" i="1"/>
  <c r="CA20" i="1"/>
  <c r="CC20" i="1"/>
</calcChain>
</file>

<file path=xl/sharedStrings.xml><?xml version="1.0" encoding="utf-8"?>
<sst xmlns="http://schemas.openxmlformats.org/spreadsheetml/2006/main" count="299" uniqueCount="173">
  <si>
    <t>9231 P1 Topical Breakdown</t>
  </si>
  <si>
    <t>J18V2</t>
  </si>
  <si>
    <t>J17V2</t>
  </si>
  <si>
    <t>J17V3</t>
  </si>
  <si>
    <t>J16V2</t>
  </si>
  <si>
    <t>J16V3</t>
  </si>
  <si>
    <t>J15V2</t>
  </si>
  <si>
    <t>J15V3</t>
  </si>
  <si>
    <t>J14V2</t>
  </si>
  <si>
    <t>J14V3</t>
  </si>
  <si>
    <t>J13V2</t>
  </si>
  <si>
    <t>J13V3</t>
  </si>
  <si>
    <t>J12V2</t>
  </si>
  <si>
    <t>Nov</t>
  </si>
  <si>
    <t>Polynomial and rational fn</t>
  </si>
  <si>
    <t>a. Roots 1.1</t>
  </si>
  <si>
    <t>b. Sketching of curve 1.2</t>
  </si>
  <si>
    <t>12O</t>
  </si>
  <si>
    <t>11E</t>
  </si>
  <si>
    <t>E</t>
  </si>
  <si>
    <t>Polar Coordinates1.5</t>
  </si>
  <si>
    <t>Summaton of Series 1.3</t>
  </si>
  <si>
    <t>Mathematical Induction 1.7</t>
  </si>
  <si>
    <t>Differentiation and Integration</t>
  </si>
  <si>
    <t>a. Implicit equation 2.3</t>
  </si>
  <si>
    <t>b. Reduction formulae 2.4</t>
  </si>
  <si>
    <t>c. Arc length / surface area 2.4</t>
  </si>
  <si>
    <t>12E</t>
  </si>
  <si>
    <t>8i</t>
  </si>
  <si>
    <t>10i</t>
  </si>
  <si>
    <t>d. mean, centroid, stat. pt.</t>
  </si>
  <si>
    <t>8ii</t>
  </si>
  <si>
    <t>10ii</t>
  </si>
  <si>
    <t>Differential Eqn (CF and PI) 2.6</t>
  </si>
  <si>
    <t>Complex Numbers 2.5</t>
  </si>
  <si>
    <t>11O</t>
  </si>
  <si>
    <t>Vectors 1.6</t>
  </si>
  <si>
    <t>Matices and linear spaces</t>
  </si>
  <si>
    <t>a. Eigenvectors / values 2.2</t>
  </si>
  <si>
    <t>b. Null and range space</t>
  </si>
  <si>
    <t>Red -out  Yellow-P1  Green-P2</t>
  </si>
  <si>
    <t>Newly added in the syllabus are:</t>
  </si>
  <si>
    <t>Matrices 1  1.4</t>
  </si>
  <si>
    <t>determinant of 3 x 3 matrix under here; also, singularity of matrices</t>
  </si>
  <si>
    <t>Hyperbolic function 2.1</t>
  </si>
  <si>
    <t>Matrices 2   2.2</t>
  </si>
  <si>
    <t>Systems of equations under here</t>
  </si>
  <si>
    <t>Differentiation  2.3</t>
  </si>
  <si>
    <t>Differentiation of hyperbolic functions, Maclaurin's Series</t>
  </si>
  <si>
    <t>Integration 2.4</t>
  </si>
  <si>
    <t>Integration of hyperbolic functions and inverse trigo function, approximation using rectangualr limits</t>
  </si>
  <si>
    <t>Diifferential Equation 2.6</t>
  </si>
  <si>
    <t>First order differential equations</t>
  </si>
  <si>
    <t>J12V3</t>
  </si>
  <si>
    <t>J11V2</t>
  </si>
  <si>
    <t>J11V3</t>
  </si>
  <si>
    <t>J10V2</t>
  </si>
  <si>
    <t>J10V3</t>
  </si>
  <si>
    <t>J09</t>
  </si>
  <si>
    <t>J08</t>
  </si>
  <si>
    <t>J07</t>
  </si>
  <si>
    <t>J06</t>
  </si>
  <si>
    <t>J05</t>
  </si>
  <si>
    <t>J04</t>
  </si>
  <si>
    <t>J03</t>
  </si>
  <si>
    <t>10E</t>
  </si>
  <si>
    <t>5ii</t>
  </si>
  <si>
    <t>7ii</t>
  </si>
  <si>
    <t>6b</t>
  </si>
  <si>
    <t>7i</t>
  </si>
  <si>
    <t>5i</t>
  </si>
  <si>
    <t>9i</t>
  </si>
  <si>
    <t>6i</t>
  </si>
  <si>
    <t>9ii</t>
  </si>
  <si>
    <t>6a</t>
  </si>
  <si>
    <t>7,9</t>
  </si>
  <si>
    <t>1,7</t>
  </si>
  <si>
    <t>6ii</t>
  </si>
  <si>
    <t>3,7</t>
  </si>
  <si>
    <t>13O</t>
  </si>
  <si>
    <t>J18V3</t>
    <phoneticPr fontId="1" type="noConversion"/>
  </si>
  <si>
    <t>J19V2</t>
    <phoneticPr fontId="1" type="noConversion"/>
  </si>
  <si>
    <t>J19V3</t>
    <phoneticPr fontId="1" type="noConversion"/>
  </si>
  <si>
    <t>J20V2</t>
    <phoneticPr fontId="1" type="noConversion"/>
  </si>
  <si>
    <t>J20V3</t>
    <phoneticPr fontId="1" type="noConversion"/>
  </si>
  <si>
    <t>J21V2</t>
    <phoneticPr fontId="1" type="noConversion"/>
  </si>
  <si>
    <t>J21V3</t>
    <phoneticPr fontId="1" type="noConversion"/>
  </si>
  <si>
    <t>J22V2</t>
    <phoneticPr fontId="1" type="noConversion"/>
  </si>
  <si>
    <t>J22V3</t>
    <phoneticPr fontId="1" type="noConversion"/>
  </si>
  <si>
    <t>J23V2</t>
    <phoneticPr fontId="1" type="noConversion"/>
  </si>
  <si>
    <t>J23V3</t>
    <phoneticPr fontId="1" type="noConversion"/>
  </si>
  <si>
    <t>2a</t>
    <phoneticPr fontId="1" type="noConversion"/>
  </si>
  <si>
    <t>N23V2</t>
    <phoneticPr fontId="1" type="noConversion"/>
  </si>
  <si>
    <t>N23V3</t>
    <phoneticPr fontId="1" type="noConversion"/>
  </si>
  <si>
    <t>N22V2</t>
    <phoneticPr fontId="1" type="noConversion"/>
  </si>
  <si>
    <t>N22V3</t>
    <phoneticPr fontId="1" type="noConversion"/>
  </si>
  <si>
    <t>N21V2</t>
    <phoneticPr fontId="1" type="noConversion"/>
  </si>
  <si>
    <t>N21V3</t>
    <phoneticPr fontId="1" type="noConversion"/>
  </si>
  <si>
    <t>N20V2</t>
    <phoneticPr fontId="1" type="noConversion"/>
  </si>
  <si>
    <t>N20V3</t>
    <phoneticPr fontId="1" type="noConversion"/>
  </si>
  <si>
    <t>1,3</t>
    <phoneticPr fontId="1" type="noConversion"/>
  </si>
  <si>
    <t>8i</t>
    <phoneticPr fontId="1" type="noConversion"/>
  </si>
  <si>
    <t>8ii</t>
    <phoneticPr fontId="1" type="noConversion"/>
  </si>
  <si>
    <t>11O</t>
    <phoneticPr fontId="1" type="noConversion"/>
  </si>
  <si>
    <t>11E</t>
    <phoneticPr fontId="1" type="noConversion"/>
  </si>
  <si>
    <t>10i</t>
    <phoneticPr fontId="1" type="noConversion"/>
  </si>
  <si>
    <t>10ii</t>
    <phoneticPr fontId="1" type="noConversion"/>
  </si>
  <si>
    <t>Question is done (explained or completed as homework)</t>
    <phoneticPr fontId="1" type="noConversion"/>
  </si>
  <si>
    <t>Homework questions</t>
    <phoneticPr fontId="1" type="noConversion"/>
  </si>
  <si>
    <t>Questions of interest or difficulties</t>
    <phoneticPr fontId="1" type="noConversion"/>
  </si>
  <si>
    <t>must discuss with students because of teaching concepts requqired</t>
    <phoneticPr fontId="1" type="noConversion"/>
  </si>
  <si>
    <t>sum for P1 paper</t>
    <phoneticPr fontId="1" type="noConversion"/>
  </si>
  <si>
    <t>5b</t>
    <phoneticPr fontId="1" type="noConversion"/>
  </si>
  <si>
    <t>2b,5ac</t>
    <phoneticPr fontId="1" type="noConversion"/>
  </si>
  <si>
    <t>3ab</t>
    <phoneticPr fontId="1" type="noConversion"/>
  </si>
  <si>
    <t>Vectors 1.6</t>
    <phoneticPr fontId="1" type="noConversion"/>
  </si>
  <si>
    <t>definition and graphs of hyperbolic functions</t>
    <phoneticPr fontId="1" type="noConversion"/>
  </si>
  <si>
    <t>5ab</t>
    <phoneticPr fontId="1" type="noConversion"/>
  </si>
  <si>
    <t>5c</t>
    <phoneticPr fontId="1" type="noConversion"/>
  </si>
  <si>
    <t>6a</t>
    <phoneticPr fontId="1" type="noConversion"/>
  </si>
  <si>
    <t>6b</t>
    <phoneticPr fontId="1" type="noConversion"/>
  </si>
  <si>
    <t>6ab</t>
    <phoneticPr fontId="1" type="noConversion"/>
  </si>
  <si>
    <t>6c</t>
    <phoneticPr fontId="1" type="noConversion"/>
  </si>
  <si>
    <t>7a</t>
    <phoneticPr fontId="1" type="noConversion"/>
  </si>
  <si>
    <t>7b</t>
    <phoneticPr fontId="1" type="noConversion"/>
  </si>
  <si>
    <t>2b</t>
    <phoneticPr fontId="1" type="noConversion"/>
  </si>
  <si>
    <t>1,8c</t>
    <phoneticPr fontId="1" type="noConversion"/>
  </si>
  <si>
    <t>8abd</t>
    <phoneticPr fontId="1" type="noConversion"/>
  </si>
  <si>
    <t>1,4</t>
    <phoneticPr fontId="1" type="noConversion"/>
  </si>
  <si>
    <t>5a</t>
    <phoneticPr fontId="1" type="noConversion"/>
  </si>
  <si>
    <t>7ab</t>
    <phoneticPr fontId="1" type="noConversion"/>
  </si>
  <si>
    <t>7c</t>
    <phoneticPr fontId="1" type="noConversion"/>
  </si>
  <si>
    <t>8a</t>
    <phoneticPr fontId="1" type="noConversion"/>
  </si>
  <si>
    <t>8bcd</t>
    <phoneticPr fontId="1" type="noConversion"/>
  </si>
  <si>
    <t>8b</t>
    <phoneticPr fontId="1" type="noConversion"/>
  </si>
  <si>
    <t>8a</t>
    <phoneticPr fontId="1" type="noConversion"/>
  </si>
  <si>
    <t>8bcd</t>
    <phoneticPr fontId="1" type="noConversion"/>
  </si>
  <si>
    <t>8b</t>
    <phoneticPr fontId="1" type="noConversion"/>
  </si>
  <si>
    <t>3,7</t>
    <phoneticPr fontId="1" type="noConversion"/>
  </si>
  <si>
    <t>9a</t>
    <phoneticPr fontId="1" type="noConversion"/>
  </si>
  <si>
    <t>5,8</t>
    <phoneticPr fontId="1" type="noConversion"/>
  </si>
  <si>
    <t>sum for P2 paper</t>
    <phoneticPr fontId="1" type="noConversion"/>
  </si>
  <si>
    <t>8a</t>
    <phoneticPr fontId="1" type="noConversion"/>
  </si>
  <si>
    <t>8b</t>
    <phoneticPr fontId="1" type="noConversion"/>
  </si>
  <si>
    <t>8ab</t>
    <phoneticPr fontId="1" type="noConversion"/>
  </si>
  <si>
    <t>8cd</t>
    <phoneticPr fontId="1" type="noConversion"/>
  </si>
  <si>
    <t>5a</t>
    <phoneticPr fontId="1" type="noConversion"/>
  </si>
  <si>
    <t>5b</t>
    <phoneticPr fontId="1" type="noConversion"/>
  </si>
  <si>
    <t>3a</t>
    <phoneticPr fontId="1" type="noConversion"/>
  </si>
  <si>
    <t>3b</t>
    <phoneticPr fontId="1" type="noConversion"/>
  </si>
  <si>
    <t>2,8ab</t>
    <phoneticPr fontId="1" type="noConversion"/>
  </si>
  <si>
    <t>8c</t>
    <phoneticPr fontId="1" type="noConversion"/>
  </si>
  <si>
    <t>J24V2</t>
    <phoneticPr fontId="1" type="noConversion"/>
  </si>
  <si>
    <t>J24V3</t>
    <phoneticPr fontId="1" type="noConversion"/>
  </si>
  <si>
    <t>N24V2</t>
    <phoneticPr fontId="1" type="noConversion"/>
  </si>
  <si>
    <t>N24V3</t>
    <phoneticPr fontId="1" type="noConversion"/>
  </si>
  <si>
    <t>4a</t>
    <phoneticPr fontId="1" type="noConversion"/>
  </si>
  <si>
    <t>4bc</t>
    <phoneticPr fontId="1" type="noConversion"/>
  </si>
  <si>
    <t>5,c</t>
    <phoneticPr fontId="1" type="noConversion"/>
  </si>
  <si>
    <r>
      <t>1</t>
    </r>
    <r>
      <rPr>
        <sz val="10"/>
        <color theme="1"/>
        <rFont val="宋体"/>
        <family val="1"/>
        <charset val="134"/>
      </rPr>
      <t>，6</t>
    </r>
    <phoneticPr fontId="1" type="noConversion"/>
  </si>
  <si>
    <t>6d</t>
    <phoneticPr fontId="1" type="noConversion"/>
  </si>
  <si>
    <t>8bc</t>
    <phoneticPr fontId="1" type="noConversion"/>
  </si>
  <si>
    <t>J25V2</t>
    <phoneticPr fontId="1" type="noConversion"/>
  </si>
  <si>
    <t>J25V3</t>
    <phoneticPr fontId="1" type="noConversion"/>
  </si>
  <si>
    <t>J25V4</t>
    <phoneticPr fontId="1" type="noConversion"/>
  </si>
  <si>
    <t>4b</t>
    <phoneticPr fontId="1" type="noConversion"/>
  </si>
  <si>
    <t>4a,5</t>
    <phoneticPr fontId="1" type="noConversion"/>
  </si>
  <si>
    <t>2, 8b</t>
    <phoneticPr fontId="1" type="noConversion"/>
  </si>
  <si>
    <r>
      <t>2</t>
    </r>
    <r>
      <rPr>
        <b/>
        <sz val="10"/>
        <color theme="1"/>
        <rFont val="宋体"/>
        <family val="1"/>
        <charset val="134"/>
      </rPr>
      <t>，4</t>
    </r>
    <phoneticPr fontId="1" type="noConversion"/>
  </si>
  <si>
    <t>N25V2</t>
    <phoneticPr fontId="1" type="noConversion"/>
  </si>
  <si>
    <t>N25V3</t>
    <phoneticPr fontId="1" type="noConversion"/>
  </si>
  <si>
    <t>N25V4</t>
    <phoneticPr fontId="1" type="noConversion"/>
  </si>
  <si>
    <t>9231 P2 Topical Breakdown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</si>
</sst>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10"/>
      <name val="Times New Roman"/>
      <family val="1"/>
    </font>
    <font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b/>
      <sz val="10"/>
      <color theme="1"/>
      <name val="Times New Roman"/>
      <family val="1"/>
    </font>
    <font>
      <u/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sz val="11"/>
      <color theme="1"/>
      <name val="Times New Roman"/>
      <family val="1"/>
    </font>
    <font>
      <b/>
      <i/>
      <u/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color theme="1"/>
      <name val="宋体"/>
      <family val="1"/>
      <charset val="134"/>
    </font>
    <font>
      <b/>
      <sz val="10"/>
      <color theme="1"/>
      <name val="宋体"/>
      <family val="1"/>
      <charset val="134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96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6" fillId="4" borderId="3" xfId="0" applyFont="1" applyFill="1" applyBorder="1">
      <alignment vertical="center"/>
    </xf>
    <xf numFmtId="0" fontId="6" fillId="0" borderId="4" xfId="0" applyFont="1" applyBorder="1">
      <alignment vertical="center"/>
    </xf>
    <xf numFmtId="0" fontId="6" fillId="0" borderId="5" xfId="0" applyFont="1" applyBorder="1">
      <alignment vertical="center"/>
    </xf>
    <xf numFmtId="0" fontId="3" fillId="4" borderId="4" xfId="0" applyFont="1" applyFill="1" applyBorder="1">
      <alignment vertical="center"/>
    </xf>
    <xf numFmtId="0" fontId="5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6" xfId="0" applyFont="1" applyFill="1" applyBorder="1">
      <alignment vertical="center"/>
    </xf>
    <xf numFmtId="0" fontId="5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4" borderId="6" xfId="0" applyFont="1" applyFill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6" fillId="5" borderId="4" xfId="0" applyFont="1" applyFill="1" applyBorder="1">
      <alignment vertical="center"/>
    </xf>
    <xf numFmtId="0" fontId="7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5" borderId="4" xfId="0" applyFont="1" applyFill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6" borderId="6" xfId="0" applyFont="1" applyFill="1" applyBorder="1" applyAlignment="1">
      <alignment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3" fillId="6" borderId="8" xfId="0" applyFont="1" applyFill="1" applyBorder="1">
      <alignment vertical="center"/>
    </xf>
    <xf numFmtId="0" fontId="5" fillId="6" borderId="8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3" borderId="0" xfId="0" applyFont="1" applyFill="1">
      <alignment vertical="center"/>
    </xf>
    <xf numFmtId="0" fontId="8" fillId="0" borderId="0" xfId="0" applyFont="1" applyAlignment="1">
      <alignment horizontal="center" vertical="center"/>
    </xf>
    <xf numFmtId="0" fontId="3" fillId="3" borderId="3" xfId="0" applyFont="1" applyFill="1" applyBorder="1">
      <alignment vertical="center"/>
    </xf>
    <xf numFmtId="0" fontId="5" fillId="0" borderId="10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3" fillId="5" borderId="4" xfId="0" applyFont="1" applyFill="1" applyBorder="1">
      <alignment vertical="center"/>
    </xf>
    <xf numFmtId="0" fontId="3" fillId="5" borderId="8" xfId="0" applyFont="1" applyFill="1" applyBorder="1">
      <alignment vertical="center"/>
    </xf>
    <xf numFmtId="0" fontId="5" fillId="0" borderId="11" xfId="0" applyFont="1" applyBorder="1" applyAlignment="1">
      <alignment horizontal="left" vertical="center"/>
    </xf>
    <xf numFmtId="0" fontId="8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1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3" fillId="0" borderId="15" xfId="0" applyFont="1" applyBorder="1">
      <alignment vertical="center"/>
    </xf>
    <xf numFmtId="0" fontId="3" fillId="0" borderId="1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3" fillId="0" borderId="16" xfId="0" applyFont="1" applyBorder="1">
      <alignment vertical="center"/>
    </xf>
    <xf numFmtId="0" fontId="6" fillId="0" borderId="17" xfId="0" applyFont="1" applyBorder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6" borderId="18" xfId="0" applyFont="1" applyFill="1" applyBorder="1" applyAlignment="1">
      <alignment horizontal="center" vertical="center" wrapText="1"/>
    </xf>
    <xf numFmtId="0" fontId="6" fillId="6" borderId="17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3" fillId="4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7" borderId="0" xfId="0" applyFont="1" applyFill="1">
      <alignment vertical="center"/>
    </xf>
    <xf numFmtId="0" fontId="3" fillId="8" borderId="0" xfId="0" applyFont="1" applyFill="1">
      <alignment vertical="center"/>
    </xf>
    <xf numFmtId="0" fontId="3" fillId="0" borderId="0" xfId="0" applyFont="1" applyAlignment="1">
      <alignment horizontal="left" vertical="center"/>
    </xf>
    <xf numFmtId="0" fontId="3" fillId="0" borderId="20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/>
    </xf>
    <xf numFmtId="0" fontId="3" fillId="9" borderId="13" xfId="0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6" borderId="23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 wrapText="1"/>
    </xf>
    <xf numFmtId="0" fontId="3" fillId="6" borderId="24" xfId="0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0" fontId="4" fillId="4" borderId="0" xfId="0" applyFont="1" applyFill="1" applyAlignment="1">
      <alignment horizontal="center" vertical="center"/>
    </xf>
    <xf numFmtId="0" fontId="5" fillId="4" borderId="6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/>
    </xf>
    <xf numFmtId="0" fontId="4" fillId="7" borderId="27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3" fillId="4" borderId="27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29" xfId="0" applyFont="1" applyBorder="1">
      <alignment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6" fillId="0" borderId="30" xfId="0" applyFont="1" applyBorder="1">
      <alignment vertical="center"/>
    </xf>
    <xf numFmtId="0" fontId="3" fillId="0" borderId="31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6" borderId="31" xfId="0" applyFont="1" applyFill="1" applyBorder="1" applyAlignment="1">
      <alignment horizontal="center" vertical="center" wrapText="1"/>
    </xf>
    <xf numFmtId="0" fontId="6" fillId="6" borderId="30" xfId="0" applyFont="1" applyFill="1" applyBorder="1" applyAlignment="1">
      <alignment horizontal="center" vertical="center" wrapText="1"/>
    </xf>
    <xf numFmtId="0" fontId="3" fillId="6" borderId="31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3" fillId="6" borderId="30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4" borderId="28" xfId="0" applyFont="1" applyFill="1" applyBorder="1">
      <alignment vertical="center"/>
    </xf>
    <xf numFmtId="0" fontId="3" fillId="7" borderId="31" xfId="0" applyFont="1" applyFill="1" applyBorder="1" applyAlignment="1">
      <alignment horizontal="center" vertical="center"/>
    </xf>
    <xf numFmtId="0" fontId="3" fillId="7" borderId="30" xfId="0" applyFont="1" applyFill="1" applyBorder="1" applyAlignment="1">
      <alignment horizontal="center" vertical="center"/>
    </xf>
    <xf numFmtId="0" fontId="3" fillId="4" borderId="15" xfId="0" applyFont="1" applyFill="1" applyBorder="1">
      <alignment vertical="center"/>
    </xf>
    <xf numFmtId="0" fontId="3" fillId="4" borderId="30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3" fillId="4" borderId="30" xfId="0" applyFont="1" applyFill="1" applyBorder="1">
      <alignment vertical="center"/>
    </xf>
    <xf numFmtId="0" fontId="3" fillId="0" borderId="17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22" xfId="0" applyFont="1" applyBorder="1">
      <alignment vertical="center"/>
    </xf>
    <xf numFmtId="0" fontId="3" fillId="5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56"/>
  <sheetViews>
    <sheetView tabSelected="1" zoomScale="141" workbookViewId="0">
      <pane xSplit="1" topLeftCell="B1" activePane="topRight" state="frozen"/>
      <selection pane="topRight" activeCell="J30" sqref="J30"/>
    </sheetView>
  </sheetViews>
  <sheetFormatPr defaultColWidth="9" defaultRowHeight="13.8" x14ac:dyDescent="0.25"/>
  <cols>
    <col min="1" max="1" width="26.33203125" style="2" customWidth="1"/>
    <col min="2" max="2" width="4.6640625" style="1" customWidth="1"/>
    <col min="3" max="17" width="4.6640625" style="3" customWidth="1"/>
    <col min="18" max="18" width="4.6640625" style="1" customWidth="1"/>
    <col min="19" max="19" width="4.6640625" style="3" customWidth="1"/>
    <col min="20" max="20" width="4.6640625" style="1" customWidth="1"/>
    <col min="21" max="21" width="4.6640625" style="4" customWidth="1"/>
    <col min="22" max="22" width="4.6640625" style="1" customWidth="1"/>
    <col min="23" max="23" width="4.6640625" style="4" customWidth="1"/>
    <col min="24" max="24" width="4.6640625" style="1" customWidth="1"/>
    <col min="25" max="25" width="4.6640625" style="4" customWidth="1"/>
    <col min="26" max="29" width="4.6640625" style="1" customWidth="1"/>
    <col min="30" max="31" width="4.5546875" style="1" customWidth="1"/>
    <col min="32" max="75" width="4.5546875" style="2" customWidth="1"/>
    <col min="76" max="16384" width="9" style="2"/>
  </cols>
  <sheetData>
    <row r="1" spans="1:81" ht="12.75" customHeight="1" thickBot="1" x14ac:dyDescent="0.3">
      <c r="A1" s="115" t="s">
        <v>0</v>
      </c>
      <c r="B1" s="181" t="s">
        <v>162</v>
      </c>
      <c r="C1" s="164"/>
      <c r="D1" s="181" t="s">
        <v>163</v>
      </c>
      <c r="E1" s="164"/>
      <c r="F1" s="184" t="s">
        <v>164</v>
      </c>
      <c r="G1" s="6"/>
      <c r="H1" s="142" t="s">
        <v>152</v>
      </c>
      <c r="I1" s="6"/>
      <c r="J1" s="142" t="s">
        <v>153</v>
      </c>
      <c r="K1" s="92"/>
      <c r="L1" s="142" t="s">
        <v>89</v>
      </c>
      <c r="M1" s="6"/>
      <c r="N1" s="142" t="s">
        <v>90</v>
      </c>
      <c r="O1" s="92"/>
      <c r="P1" s="142" t="s">
        <v>87</v>
      </c>
      <c r="Q1" s="92"/>
      <c r="R1" s="142" t="s">
        <v>88</v>
      </c>
      <c r="S1" s="92"/>
      <c r="T1" s="142" t="s">
        <v>85</v>
      </c>
      <c r="U1" s="92"/>
      <c r="V1" s="142" t="s">
        <v>86</v>
      </c>
      <c r="W1" s="92"/>
      <c r="X1" s="142" t="s">
        <v>83</v>
      </c>
      <c r="Y1" s="92"/>
      <c r="Z1" s="142" t="s">
        <v>84</v>
      </c>
      <c r="AA1" s="132"/>
      <c r="AB1" s="92" t="s">
        <v>81</v>
      </c>
      <c r="AC1" s="98"/>
      <c r="AD1" s="92" t="s">
        <v>82</v>
      </c>
      <c r="AE1" s="92"/>
      <c r="AF1" s="5" t="s">
        <v>1</v>
      </c>
      <c r="AG1" s="6"/>
      <c r="AH1" s="92" t="s">
        <v>80</v>
      </c>
      <c r="AI1" s="92"/>
      <c r="AJ1" s="5" t="s">
        <v>2</v>
      </c>
      <c r="AK1" s="6"/>
      <c r="AL1" s="5" t="s">
        <v>3</v>
      </c>
      <c r="AM1" s="6"/>
      <c r="AN1" s="5" t="s">
        <v>4</v>
      </c>
      <c r="AO1" s="6"/>
      <c r="AP1" s="5" t="s">
        <v>5</v>
      </c>
      <c r="AQ1" s="6"/>
      <c r="AR1" s="5" t="s">
        <v>6</v>
      </c>
      <c r="AS1" s="6"/>
      <c r="AT1" s="5" t="s">
        <v>7</v>
      </c>
      <c r="AU1" s="6"/>
      <c r="AV1" s="72" t="s">
        <v>8</v>
      </c>
      <c r="AW1" s="73"/>
      <c r="AX1" s="74" t="s">
        <v>9</v>
      </c>
      <c r="AY1" s="75"/>
      <c r="AZ1" s="76" t="s">
        <v>10</v>
      </c>
      <c r="BA1" s="73"/>
      <c r="BB1" s="76" t="s">
        <v>11</v>
      </c>
      <c r="BC1" s="73"/>
      <c r="BD1" s="76" t="s">
        <v>12</v>
      </c>
      <c r="BE1" s="73"/>
      <c r="BF1" s="45" t="s">
        <v>53</v>
      </c>
      <c r="BG1" s="46"/>
      <c r="BH1" s="45" t="s">
        <v>54</v>
      </c>
      <c r="BI1" s="47"/>
      <c r="BJ1" s="45" t="s">
        <v>55</v>
      </c>
      <c r="BK1" s="46"/>
      <c r="BL1" s="45" t="s">
        <v>56</v>
      </c>
      <c r="BM1" s="46"/>
      <c r="BN1" s="45" t="s">
        <v>57</v>
      </c>
      <c r="BO1" s="46"/>
      <c r="BP1" s="45" t="s">
        <v>58</v>
      </c>
      <c r="BQ1" s="47"/>
      <c r="BR1" s="45" t="s">
        <v>59</v>
      </c>
      <c r="BS1" s="47"/>
      <c r="BT1" s="88" t="s">
        <v>60</v>
      </c>
      <c r="BU1" s="88"/>
      <c r="BV1" s="88" t="s">
        <v>61</v>
      </c>
      <c r="BW1" s="88"/>
      <c r="BX1" s="88" t="s">
        <v>62</v>
      </c>
      <c r="BY1" s="88"/>
      <c r="BZ1" s="88" t="s">
        <v>63</v>
      </c>
      <c r="CA1" s="88"/>
      <c r="CB1" s="88" t="s">
        <v>64</v>
      </c>
      <c r="CC1" s="88"/>
    </row>
    <row r="2" spans="1:81" ht="12.75" customHeight="1" thickBot="1" x14ac:dyDescent="0.3">
      <c r="A2" s="195" t="s">
        <v>172</v>
      </c>
      <c r="B2" s="190"/>
      <c r="C2" s="191"/>
      <c r="D2" s="190"/>
      <c r="E2" s="191"/>
      <c r="F2" s="115"/>
      <c r="G2" s="2"/>
      <c r="H2" s="10"/>
      <c r="I2" s="192"/>
      <c r="J2" s="10"/>
      <c r="K2" s="2"/>
      <c r="L2" s="10"/>
      <c r="M2" s="192"/>
      <c r="N2" s="10"/>
      <c r="O2" s="2"/>
      <c r="P2" s="193"/>
      <c r="Q2" s="2"/>
      <c r="R2" s="10"/>
      <c r="S2" s="2"/>
      <c r="T2" s="10"/>
      <c r="U2" s="2"/>
      <c r="V2" s="10"/>
      <c r="W2" s="2"/>
      <c r="X2" s="10"/>
      <c r="Y2" s="2"/>
      <c r="Z2" s="10"/>
      <c r="AA2" s="194"/>
      <c r="AB2" s="2"/>
      <c r="AC2" s="191"/>
      <c r="AD2" s="2"/>
      <c r="AE2" s="2"/>
      <c r="AF2" s="193"/>
      <c r="AG2" s="192"/>
      <c r="AJ2" s="193"/>
      <c r="AK2" s="192"/>
      <c r="AL2" s="193"/>
      <c r="AM2" s="192"/>
      <c r="AN2" s="193"/>
      <c r="AO2" s="192"/>
      <c r="AP2" s="193"/>
      <c r="AQ2" s="192"/>
      <c r="AS2" s="192"/>
      <c r="AT2" s="193"/>
      <c r="AU2" s="192"/>
      <c r="AV2" s="72"/>
      <c r="AW2" s="73"/>
      <c r="AX2" s="74"/>
      <c r="AY2" s="75"/>
      <c r="AZ2" s="76"/>
      <c r="BA2" s="73"/>
      <c r="BB2" s="76"/>
      <c r="BC2" s="73"/>
      <c r="BD2" s="76"/>
      <c r="BE2" s="73"/>
      <c r="BF2" s="119"/>
      <c r="BG2" s="3"/>
      <c r="BH2" s="119"/>
      <c r="BI2" s="4"/>
      <c r="BJ2" s="119"/>
      <c r="BK2" s="3"/>
      <c r="BL2" s="119"/>
      <c r="BM2" s="3"/>
      <c r="BN2" s="119"/>
      <c r="BO2" s="3"/>
      <c r="BP2" s="119"/>
      <c r="BQ2" s="4"/>
      <c r="BR2" s="119"/>
      <c r="BS2" s="4"/>
      <c r="BT2" s="1"/>
      <c r="BU2" s="1"/>
      <c r="BV2" s="1"/>
      <c r="BW2" s="1"/>
      <c r="BX2" s="1"/>
      <c r="BY2" s="1"/>
      <c r="BZ2" s="1"/>
      <c r="CA2" s="1"/>
      <c r="CB2" s="1"/>
      <c r="CC2" s="1"/>
    </row>
    <row r="3" spans="1:81" x14ac:dyDescent="0.25">
      <c r="A3" s="7" t="s">
        <v>14</v>
      </c>
      <c r="B3" s="165"/>
      <c r="C3" s="153"/>
      <c r="D3" s="168"/>
      <c r="E3" s="99"/>
      <c r="F3" s="55"/>
      <c r="G3" s="55"/>
      <c r="H3" s="8"/>
      <c r="I3" s="9"/>
      <c r="J3" s="8"/>
      <c r="K3" s="55"/>
      <c r="L3" s="8"/>
      <c r="M3" s="9"/>
      <c r="N3" s="8"/>
      <c r="O3" s="55"/>
      <c r="P3" s="8"/>
      <c r="Q3" s="55"/>
      <c r="R3" s="8"/>
      <c r="S3" s="55"/>
      <c r="T3" s="8"/>
      <c r="U3" s="55"/>
      <c r="V3" s="8"/>
      <c r="W3" s="55"/>
      <c r="X3" s="8"/>
      <c r="Y3" s="55"/>
      <c r="Z3" s="8"/>
      <c r="AA3" s="133"/>
      <c r="AB3" s="55"/>
      <c r="AC3" s="99"/>
      <c r="AD3" s="55"/>
      <c r="AE3" s="55"/>
      <c r="AF3" s="8"/>
      <c r="AG3" s="9"/>
      <c r="AH3" s="55"/>
      <c r="AI3" s="55"/>
      <c r="AJ3" s="8"/>
      <c r="AK3" s="9"/>
      <c r="AL3" s="8"/>
      <c r="AM3" s="9"/>
      <c r="AN3" s="8"/>
      <c r="AO3" s="9"/>
      <c r="AP3" s="8"/>
      <c r="AQ3" s="9"/>
      <c r="AR3" s="55"/>
      <c r="AS3" s="9"/>
      <c r="AT3" s="8"/>
      <c r="AU3" s="9"/>
      <c r="AV3" s="75"/>
      <c r="AW3" s="77"/>
      <c r="AX3" s="78"/>
      <c r="AY3" s="78"/>
      <c r="AZ3" s="79"/>
      <c r="BA3" s="77"/>
      <c r="BB3" s="79"/>
      <c r="BC3" s="77"/>
      <c r="BD3" s="79"/>
      <c r="BE3" s="77"/>
      <c r="BF3" s="48"/>
      <c r="BG3" s="12"/>
      <c r="BH3" s="48"/>
      <c r="BI3" s="12"/>
      <c r="BJ3" s="48"/>
      <c r="BK3" s="12"/>
      <c r="BL3" s="48"/>
      <c r="BM3" s="12"/>
      <c r="BN3" s="48"/>
      <c r="BO3" s="12"/>
      <c r="BP3" s="3"/>
      <c r="BQ3" s="12"/>
      <c r="BR3" s="48"/>
      <c r="BS3" s="12"/>
      <c r="BT3" s="48"/>
      <c r="BU3" s="12"/>
      <c r="BV3" s="48"/>
      <c r="BW3" s="12"/>
      <c r="BX3" s="48"/>
      <c r="BY3" s="12"/>
      <c r="BZ3" s="48"/>
      <c r="CA3" s="12"/>
      <c r="CB3" s="48"/>
      <c r="CC3" s="12"/>
    </row>
    <row r="4" spans="1:81" x14ac:dyDescent="0.25">
      <c r="A4" s="10" t="s">
        <v>15</v>
      </c>
      <c r="B4" s="165">
        <v>2</v>
      </c>
      <c r="C4" s="153">
        <v>7</v>
      </c>
      <c r="D4" s="165">
        <v>3</v>
      </c>
      <c r="E4" s="100">
        <v>9</v>
      </c>
      <c r="F4" s="123" t="s">
        <v>165</v>
      </c>
      <c r="G4" s="1">
        <v>6</v>
      </c>
      <c r="H4" s="110">
        <v>1</v>
      </c>
      <c r="I4" s="12">
        <v>6</v>
      </c>
      <c r="J4" s="109">
        <v>2</v>
      </c>
      <c r="K4" s="1">
        <v>7</v>
      </c>
      <c r="L4" s="110">
        <v>2</v>
      </c>
      <c r="M4" s="12">
        <v>8</v>
      </c>
      <c r="N4" s="109">
        <v>3</v>
      </c>
      <c r="O4" s="1">
        <v>9</v>
      </c>
      <c r="P4" s="109">
        <v>4</v>
      </c>
      <c r="Q4" s="1">
        <v>8</v>
      </c>
      <c r="R4" s="109" t="s">
        <v>91</v>
      </c>
      <c r="S4" s="1">
        <v>3</v>
      </c>
      <c r="T4" s="109">
        <v>3</v>
      </c>
      <c r="U4" s="1">
        <v>9</v>
      </c>
      <c r="V4" s="109">
        <v>2</v>
      </c>
      <c r="W4" s="1">
        <v>11</v>
      </c>
      <c r="X4" s="109">
        <v>2</v>
      </c>
      <c r="Y4" s="1">
        <v>8</v>
      </c>
      <c r="Z4" s="109">
        <v>1</v>
      </c>
      <c r="AA4" s="134">
        <v>7</v>
      </c>
      <c r="AB4" s="130">
        <v>6</v>
      </c>
      <c r="AC4" s="100">
        <v>9</v>
      </c>
      <c r="AD4" s="1">
        <v>9</v>
      </c>
      <c r="AE4" s="1">
        <v>11</v>
      </c>
      <c r="AF4" s="110">
        <v>4</v>
      </c>
      <c r="AG4" s="12">
        <v>8</v>
      </c>
      <c r="AH4" s="123">
        <v>6</v>
      </c>
      <c r="AI4" s="1">
        <v>8</v>
      </c>
      <c r="AJ4" s="110">
        <v>7</v>
      </c>
      <c r="AK4" s="12">
        <v>8</v>
      </c>
      <c r="AL4" s="110">
        <v>1</v>
      </c>
      <c r="AM4" s="12">
        <v>5</v>
      </c>
      <c r="AN4" s="110">
        <v>1</v>
      </c>
      <c r="AO4" s="12">
        <v>4</v>
      </c>
      <c r="AP4" s="110">
        <v>8</v>
      </c>
      <c r="AQ4" s="12">
        <v>10</v>
      </c>
      <c r="AR4" s="3">
        <v>4</v>
      </c>
      <c r="AS4" s="12">
        <v>8</v>
      </c>
      <c r="AT4" s="56">
        <v>1</v>
      </c>
      <c r="AU4" s="12">
        <v>6</v>
      </c>
      <c r="AV4" s="3">
        <v>1</v>
      </c>
      <c r="AW4" s="12">
        <v>5</v>
      </c>
      <c r="AX4" s="3"/>
      <c r="AY4" s="1"/>
      <c r="AZ4" s="48">
        <v>3</v>
      </c>
      <c r="BA4" s="12">
        <v>8</v>
      </c>
      <c r="BB4" s="114">
        <v>2</v>
      </c>
      <c r="BC4" s="12">
        <v>6</v>
      </c>
      <c r="BD4" s="48">
        <v>1</v>
      </c>
      <c r="BE4" s="12">
        <v>5</v>
      </c>
      <c r="BF4" s="114">
        <v>8</v>
      </c>
      <c r="BG4" s="12">
        <v>10</v>
      </c>
      <c r="BH4" s="48">
        <v>2</v>
      </c>
      <c r="BI4" s="12">
        <v>6</v>
      </c>
      <c r="BJ4" s="48">
        <v>3</v>
      </c>
      <c r="BK4" s="12">
        <v>6</v>
      </c>
      <c r="BL4" s="48">
        <v>6</v>
      </c>
      <c r="BM4" s="12">
        <v>9</v>
      </c>
      <c r="BN4" s="48">
        <v>10</v>
      </c>
      <c r="BO4" s="12">
        <v>10</v>
      </c>
      <c r="BP4" s="3">
        <v>1</v>
      </c>
      <c r="BQ4" s="12">
        <v>5</v>
      </c>
      <c r="BR4" s="48">
        <v>5</v>
      </c>
      <c r="BS4" s="12">
        <v>7</v>
      </c>
      <c r="BT4" s="48">
        <v>7</v>
      </c>
      <c r="BU4" s="12">
        <v>7</v>
      </c>
      <c r="BV4" s="48" t="s">
        <v>18</v>
      </c>
      <c r="BW4" s="12">
        <v>14</v>
      </c>
      <c r="BX4" s="48">
        <v>4</v>
      </c>
      <c r="BY4" s="12">
        <v>6</v>
      </c>
      <c r="BZ4" s="48" t="s">
        <v>35</v>
      </c>
      <c r="CA4" s="12">
        <v>14</v>
      </c>
      <c r="CB4" s="48">
        <v>5</v>
      </c>
      <c r="CC4" s="12">
        <v>8</v>
      </c>
    </row>
    <row r="5" spans="1:81" x14ac:dyDescent="0.25">
      <c r="A5" s="13" t="s">
        <v>16</v>
      </c>
      <c r="B5" s="182">
        <v>7</v>
      </c>
      <c r="C5" s="167">
        <v>15</v>
      </c>
      <c r="D5" s="166">
        <v>6</v>
      </c>
      <c r="E5" s="101">
        <v>14</v>
      </c>
      <c r="F5" s="80">
        <v>7</v>
      </c>
      <c r="G5" s="80">
        <v>16</v>
      </c>
      <c r="H5" s="124">
        <v>6</v>
      </c>
      <c r="I5" s="15">
        <v>14</v>
      </c>
      <c r="J5" s="126">
        <v>6</v>
      </c>
      <c r="K5" s="80">
        <v>13</v>
      </c>
      <c r="L5" s="124">
        <v>6</v>
      </c>
      <c r="M5" s="15">
        <v>15</v>
      </c>
      <c r="N5" s="122">
        <v>7</v>
      </c>
      <c r="O5" s="80">
        <v>13</v>
      </c>
      <c r="P5" s="122">
        <v>5</v>
      </c>
      <c r="Q5" s="80">
        <v>12</v>
      </c>
      <c r="R5" s="122" t="s">
        <v>100</v>
      </c>
      <c r="S5" s="80">
        <v>16</v>
      </c>
      <c r="T5" s="122">
        <v>7</v>
      </c>
      <c r="U5" s="80">
        <v>15</v>
      </c>
      <c r="V5" s="122">
        <v>7</v>
      </c>
      <c r="W5" s="80">
        <v>14</v>
      </c>
      <c r="X5" s="122" t="s">
        <v>100</v>
      </c>
      <c r="Y5" s="80">
        <v>15</v>
      </c>
      <c r="Z5" s="122">
        <v>6</v>
      </c>
      <c r="AA5" s="135">
        <v>15</v>
      </c>
      <c r="AB5" s="131">
        <v>10</v>
      </c>
      <c r="AC5" s="101">
        <v>12</v>
      </c>
      <c r="AD5" s="80">
        <v>6</v>
      </c>
      <c r="AE5" s="80">
        <v>9</v>
      </c>
      <c r="AF5" s="124">
        <v>6</v>
      </c>
      <c r="AG5" s="15">
        <v>9</v>
      </c>
      <c r="AH5" s="80">
        <v>4</v>
      </c>
      <c r="AI5" s="80">
        <v>8</v>
      </c>
      <c r="AJ5" s="14">
        <v>9</v>
      </c>
      <c r="AK5" s="15">
        <v>11</v>
      </c>
      <c r="AL5" s="14"/>
      <c r="AM5" s="15"/>
      <c r="AN5" s="124">
        <v>7</v>
      </c>
      <c r="AO5" s="15">
        <v>10</v>
      </c>
      <c r="AP5" s="14">
        <v>5</v>
      </c>
      <c r="AQ5" s="15">
        <v>8</v>
      </c>
      <c r="AR5" s="57"/>
      <c r="AS5" s="15"/>
      <c r="AT5" s="58">
        <v>10</v>
      </c>
      <c r="AU5" s="15">
        <v>11</v>
      </c>
      <c r="AV5" s="129" t="s">
        <v>17</v>
      </c>
      <c r="AW5" s="15">
        <v>14</v>
      </c>
      <c r="AX5" s="57" t="s">
        <v>18</v>
      </c>
      <c r="AY5" s="80">
        <v>14</v>
      </c>
      <c r="AZ5" s="49">
        <v>10</v>
      </c>
      <c r="BA5" s="15">
        <v>13</v>
      </c>
      <c r="BB5" s="49"/>
      <c r="BC5" s="15"/>
      <c r="BD5" s="49">
        <v>9</v>
      </c>
      <c r="BE5" s="15">
        <v>11</v>
      </c>
      <c r="BF5" s="49">
        <v>6</v>
      </c>
      <c r="BG5" s="15">
        <v>9</v>
      </c>
      <c r="BH5" s="49" t="s">
        <v>35</v>
      </c>
      <c r="BI5" s="15">
        <v>14</v>
      </c>
      <c r="BJ5" s="49">
        <v>9</v>
      </c>
      <c r="BK5" s="15">
        <v>11</v>
      </c>
      <c r="BL5" s="49" t="s">
        <v>35</v>
      </c>
      <c r="BM5" s="15">
        <v>14</v>
      </c>
      <c r="BN5" s="49">
        <v>6</v>
      </c>
      <c r="BO5" s="15">
        <v>8</v>
      </c>
      <c r="BP5" s="57">
        <v>10</v>
      </c>
      <c r="BQ5" s="15">
        <v>11</v>
      </c>
      <c r="BR5" s="49">
        <v>9</v>
      </c>
      <c r="BS5" s="15">
        <v>10</v>
      </c>
      <c r="BT5" s="49" t="s">
        <v>65</v>
      </c>
      <c r="BU5" s="15">
        <v>14</v>
      </c>
      <c r="BV5" s="49">
        <v>8</v>
      </c>
      <c r="BW5" s="15">
        <v>9</v>
      </c>
      <c r="BX5" s="49" t="s">
        <v>27</v>
      </c>
      <c r="BY5" s="15">
        <v>13</v>
      </c>
      <c r="BZ5" s="49">
        <v>2</v>
      </c>
      <c r="CA5" s="15">
        <v>7</v>
      </c>
      <c r="CB5" s="49">
        <v>4</v>
      </c>
      <c r="CC5" s="15">
        <v>7</v>
      </c>
    </row>
    <row r="6" spans="1:81" x14ac:dyDescent="0.25">
      <c r="A6" s="10" t="s">
        <v>20</v>
      </c>
      <c r="B6" s="165">
        <v>5</v>
      </c>
      <c r="C6" s="153">
        <v>13</v>
      </c>
      <c r="D6" s="165">
        <v>7</v>
      </c>
      <c r="E6" s="100">
        <v>16</v>
      </c>
      <c r="F6" s="1">
        <v>6</v>
      </c>
      <c r="G6" s="1">
        <v>13</v>
      </c>
      <c r="H6" s="146">
        <v>7</v>
      </c>
      <c r="I6" s="12">
        <v>15</v>
      </c>
      <c r="J6" s="111">
        <v>7</v>
      </c>
      <c r="K6" s="1">
        <v>16</v>
      </c>
      <c r="L6" s="110">
        <v>5</v>
      </c>
      <c r="M6" s="12">
        <v>12</v>
      </c>
      <c r="N6" s="109">
        <v>5</v>
      </c>
      <c r="O6" s="1">
        <v>10</v>
      </c>
      <c r="P6" s="109">
        <v>6</v>
      </c>
      <c r="Q6" s="1">
        <v>13</v>
      </c>
      <c r="R6" s="109">
        <v>6</v>
      </c>
      <c r="S6" s="1">
        <v>13</v>
      </c>
      <c r="T6" s="109">
        <v>5</v>
      </c>
      <c r="U6" s="1">
        <v>10</v>
      </c>
      <c r="V6" s="109">
        <v>5</v>
      </c>
      <c r="W6" s="1">
        <v>9</v>
      </c>
      <c r="X6" s="109">
        <v>7</v>
      </c>
      <c r="Y6" s="1">
        <v>17</v>
      </c>
      <c r="Z6" s="109">
        <v>5</v>
      </c>
      <c r="AA6" s="134">
        <v>11</v>
      </c>
      <c r="AB6" s="1" t="s">
        <v>104</v>
      </c>
      <c r="AC6" s="100">
        <v>14</v>
      </c>
      <c r="AD6" s="1">
        <v>2</v>
      </c>
      <c r="AE6" s="1">
        <v>7</v>
      </c>
      <c r="AF6" s="11">
        <v>3</v>
      </c>
      <c r="AG6" s="12">
        <v>8</v>
      </c>
      <c r="AH6" s="1">
        <v>8</v>
      </c>
      <c r="AI6" s="1">
        <v>10</v>
      </c>
      <c r="AJ6" s="11">
        <v>11</v>
      </c>
      <c r="AK6" s="12">
        <v>13</v>
      </c>
      <c r="AL6" s="11" t="s">
        <v>18</v>
      </c>
      <c r="AM6" s="12">
        <v>14</v>
      </c>
      <c r="AN6" s="11">
        <v>4</v>
      </c>
      <c r="AO6" s="12">
        <v>8</v>
      </c>
      <c r="AP6" s="11">
        <v>7</v>
      </c>
      <c r="AQ6" s="12">
        <v>9</v>
      </c>
      <c r="AR6" s="3">
        <v>5</v>
      </c>
      <c r="AS6" s="12">
        <v>9</v>
      </c>
      <c r="AT6" s="56">
        <v>2</v>
      </c>
      <c r="AU6" s="12">
        <v>6</v>
      </c>
      <c r="AV6" s="3">
        <v>5</v>
      </c>
      <c r="AW6" s="12">
        <v>6</v>
      </c>
      <c r="AX6" s="3">
        <v>4</v>
      </c>
      <c r="AY6" s="1">
        <v>7</v>
      </c>
      <c r="AZ6" s="48">
        <v>1</v>
      </c>
      <c r="BA6" s="12">
        <v>4</v>
      </c>
      <c r="BB6" s="48">
        <v>10</v>
      </c>
      <c r="BC6" s="12">
        <v>12</v>
      </c>
      <c r="BD6" s="48">
        <v>4</v>
      </c>
      <c r="BE6" s="12">
        <v>9</v>
      </c>
      <c r="BF6" s="48" t="s">
        <v>18</v>
      </c>
      <c r="BG6" s="12">
        <v>14</v>
      </c>
      <c r="BH6" s="48">
        <v>5</v>
      </c>
      <c r="BI6" s="12">
        <v>8</v>
      </c>
      <c r="BJ6" s="48">
        <v>6</v>
      </c>
      <c r="BK6" s="12">
        <v>8</v>
      </c>
      <c r="BL6" s="48">
        <v>2</v>
      </c>
      <c r="BM6" s="12">
        <v>7</v>
      </c>
      <c r="BN6" s="48">
        <v>11</v>
      </c>
      <c r="BO6" s="12">
        <v>12</v>
      </c>
      <c r="BP6" s="3">
        <v>5</v>
      </c>
      <c r="BQ6" s="12">
        <v>7</v>
      </c>
      <c r="BR6" s="48">
        <v>4</v>
      </c>
      <c r="BS6" s="12">
        <v>7</v>
      </c>
      <c r="BT6" s="48">
        <v>5</v>
      </c>
      <c r="BU6" s="12">
        <v>7</v>
      </c>
      <c r="BV6" s="48">
        <v>2</v>
      </c>
      <c r="BW6" s="12">
        <v>6</v>
      </c>
      <c r="BX6" s="48">
        <v>6</v>
      </c>
      <c r="BY6" s="12">
        <v>8</v>
      </c>
      <c r="BZ6" s="48"/>
      <c r="CA6" s="12"/>
      <c r="CB6" s="48">
        <v>1</v>
      </c>
      <c r="CC6" s="12">
        <v>4</v>
      </c>
    </row>
    <row r="7" spans="1:81" x14ac:dyDescent="0.25">
      <c r="A7" s="10" t="s">
        <v>21</v>
      </c>
      <c r="B7" s="165">
        <v>1</v>
      </c>
      <c r="C7" s="153">
        <v>8</v>
      </c>
      <c r="D7" s="183">
        <v>4</v>
      </c>
      <c r="E7" s="100">
        <v>8</v>
      </c>
      <c r="F7" s="1">
        <v>1</v>
      </c>
      <c r="G7" s="1">
        <v>6</v>
      </c>
      <c r="H7" s="146">
        <v>3</v>
      </c>
      <c r="I7" s="12">
        <v>8</v>
      </c>
      <c r="J7" s="109" t="s">
        <v>157</v>
      </c>
      <c r="K7" s="1">
        <v>8</v>
      </c>
      <c r="L7" s="110">
        <v>3</v>
      </c>
      <c r="M7" s="12">
        <v>7</v>
      </c>
      <c r="N7" s="109">
        <v>2</v>
      </c>
      <c r="O7" s="1">
        <v>8</v>
      </c>
      <c r="P7" s="112">
        <v>1</v>
      </c>
      <c r="Q7" s="1">
        <v>7</v>
      </c>
      <c r="R7" s="111">
        <v>4</v>
      </c>
      <c r="S7" s="1">
        <v>9</v>
      </c>
      <c r="T7" s="109">
        <v>2</v>
      </c>
      <c r="U7" s="1">
        <v>9</v>
      </c>
      <c r="V7" s="109">
        <v>1</v>
      </c>
      <c r="W7" s="1">
        <v>6</v>
      </c>
      <c r="X7" s="109">
        <v>4</v>
      </c>
      <c r="Y7" s="1">
        <v>10</v>
      </c>
      <c r="Z7" s="109">
        <v>3</v>
      </c>
      <c r="AA7" s="134">
        <v>9</v>
      </c>
      <c r="AB7" s="123">
        <v>2</v>
      </c>
      <c r="AC7" s="100">
        <v>5</v>
      </c>
      <c r="AD7" s="1">
        <v>4</v>
      </c>
      <c r="AE7" s="1">
        <v>8</v>
      </c>
      <c r="AF7" s="110">
        <v>5</v>
      </c>
      <c r="AG7" s="12">
        <v>8</v>
      </c>
      <c r="AH7" s="123">
        <v>2</v>
      </c>
      <c r="AI7" s="1">
        <v>6</v>
      </c>
      <c r="AJ7" s="11">
        <v>1</v>
      </c>
      <c r="AK7" s="12">
        <v>5</v>
      </c>
      <c r="AL7" s="11">
        <v>2</v>
      </c>
      <c r="AM7" s="12">
        <v>6</v>
      </c>
      <c r="AN7" s="11">
        <v>2</v>
      </c>
      <c r="AO7" s="12">
        <v>6</v>
      </c>
      <c r="AP7" s="11">
        <v>1</v>
      </c>
      <c r="AQ7" s="12">
        <v>6</v>
      </c>
      <c r="AR7" s="3">
        <v>1</v>
      </c>
      <c r="AS7" s="12">
        <v>4</v>
      </c>
      <c r="AT7" s="56">
        <v>4</v>
      </c>
      <c r="AU7" s="12">
        <v>7</v>
      </c>
      <c r="AV7" s="3">
        <v>2</v>
      </c>
      <c r="AW7" s="12">
        <v>5</v>
      </c>
      <c r="AX7" s="113">
        <v>2</v>
      </c>
      <c r="AY7" s="1">
        <v>6</v>
      </c>
      <c r="AZ7" s="48">
        <v>5</v>
      </c>
      <c r="BA7" s="12">
        <v>9</v>
      </c>
      <c r="BB7" s="114">
        <v>1</v>
      </c>
      <c r="BC7" s="12">
        <v>5</v>
      </c>
      <c r="BD7" s="48">
        <v>3</v>
      </c>
      <c r="BE7" s="12">
        <v>6</v>
      </c>
      <c r="BF7" s="114">
        <v>1</v>
      </c>
      <c r="BG7" s="12">
        <v>5</v>
      </c>
      <c r="BH7" s="48">
        <v>1</v>
      </c>
      <c r="BI7" s="12">
        <v>5</v>
      </c>
      <c r="BJ7" s="48">
        <v>1</v>
      </c>
      <c r="BK7" s="12">
        <v>5</v>
      </c>
      <c r="BL7" s="48">
        <v>4</v>
      </c>
      <c r="BM7" s="12">
        <v>7</v>
      </c>
      <c r="BN7" s="48">
        <v>2</v>
      </c>
      <c r="BO7" s="12">
        <v>5</v>
      </c>
      <c r="BP7" s="3">
        <v>2</v>
      </c>
      <c r="BQ7" s="12">
        <v>6</v>
      </c>
      <c r="BR7" s="48">
        <v>2</v>
      </c>
      <c r="BS7" s="12">
        <v>5</v>
      </c>
      <c r="BT7" s="48">
        <v>1</v>
      </c>
      <c r="BU7" s="12">
        <v>5</v>
      </c>
      <c r="BV7" s="48">
        <v>1</v>
      </c>
      <c r="BW7" s="12">
        <v>6</v>
      </c>
      <c r="BX7" s="48">
        <v>1</v>
      </c>
      <c r="BY7" s="12">
        <v>4</v>
      </c>
      <c r="BZ7" s="48">
        <v>1</v>
      </c>
      <c r="CA7" s="12">
        <v>4</v>
      </c>
      <c r="CB7" s="48">
        <v>3</v>
      </c>
      <c r="CC7" s="12">
        <v>6</v>
      </c>
    </row>
    <row r="8" spans="1:81" x14ac:dyDescent="0.25">
      <c r="A8" s="16" t="s">
        <v>22</v>
      </c>
      <c r="B8" s="166">
        <v>3</v>
      </c>
      <c r="C8" s="167">
        <v>7</v>
      </c>
      <c r="D8" s="169">
        <v>2</v>
      </c>
      <c r="E8" s="102">
        <v>6</v>
      </c>
      <c r="F8" s="93">
        <v>2</v>
      </c>
      <c r="G8" s="93">
        <v>6</v>
      </c>
      <c r="H8" s="160">
        <v>2</v>
      </c>
      <c r="I8" s="18">
        <v>7</v>
      </c>
      <c r="J8" s="125" t="s">
        <v>156</v>
      </c>
      <c r="K8" s="93">
        <v>5</v>
      </c>
      <c r="L8" s="144">
        <v>1</v>
      </c>
      <c r="M8" s="18">
        <v>7</v>
      </c>
      <c r="N8" s="125">
        <v>1</v>
      </c>
      <c r="O8" s="93">
        <v>6</v>
      </c>
      <c r="P8" s="125">
        <v>3</v>
      </c>
      <c r="Q8" s="93">
        <v>8</v>
      </c>
      <c r="R8" s="125" t="s">
        <v>112</v>
      </c>
      <c r="S8" s="93">
        <v>5</v>
      </c>
      <c r="T8" s="125">
        <v>1</v>
      </c>
      <c r="U8" s="93">
        <v>6</v>
      </c>
      <c r="V8" s="125">
        <v>3</v>
      </c>
      <c r="W8" s="93">
        <v>9</v>
      </c>
      <c r="X8" s="60"/>
      <c r="Y8" s="93"/>
      <c r="Z8" s="125">
        <v>2</v>
      </c>
      <c r="AA8" s="136">
        <v>7</v>
      </c>
      <c r="AB8" s="93" t="s">
        <v>101</v>
      </c>
      <c r="AC8" s="102">
        <v>5</v>
      </c>
      <c r="AD8" s="127">
        <v>1</v>
      </c>
      <c r="AE8" s="93">
        <v>5</v>
      </c>
      <c r="AF8" s="17">
        <v>2</v>
      </c>
      <c r="AG8" s="18">
        <v>6</v>
      </c>
      <c r="AH8" s="127">
        <v>9</v>
      </c>
      <c r="AI8" s="93">
        <v>10</v>
      </c>
      <c r="AJ8" s="17">
        <v>2</v>
      </c>
      <c r="AK8" s="18">
        <v>5</v>
      </c>
      <c r="AL8" s="128">
        <v>3</v>
      </c>
      <c r="AM8" s="18">
        <v>6</v>
      </c>
      <c r="AN8" s="17">
        <v>3</v>
      </c>
      <c r="AO8" s="18">
        <v>6</v>
      </c>
      <c r="AP8" s="128">
        <v>2</v>
      </c>
      <c r="AQ8" s="18">
        <v>6</v>
      </c>
      <c r="AR8" s="59">
        <v>3</v>
      </c>
      <c r="AS8" s="18">
        <v>7</v>
      </c>
      <c r="AT8" s="60">
        <v>3</v>
      </c>
      <c r="AU8" s="18">
        <v>7</v>
      </c>
      <c r="AV8" s="57">
        <v>3</v>
      </c>
      <c r="AW8" s="15">
        <v>6</v>
      </c>
      <c r="AX8" s="57">
        <v>3</v>
      </c>
      <c r="AY8" s="80">
        <v>7</v>
      </c>
      <c r="AZ8" s="49">
        <v>2</v>
      </c>
      <c r="BA8" s="15">
        <v>5</v>
      </c>
      <c r="BB8" s="49">
        <v>3</v>
      </c>
      <c r="BC8" s="15">
        <v>7</v>
      </c>
      <c r="BD8" s="49">
        <v>2</v>
      </c>
      <c r="BE8" s="15">
        <v>5</v>
      </c>
      <c r="BF8" s="49">
        <v>2</v>
      </c>
      <c r="BG8" s="15">
        <v>5</v>
      </c>
      <c r="BH8" s="49">
        <v>4</v>
      </c>
      <c r="BI8" s="15">
        <v>6</v>
      </c>
      <c r="BJ8" s="49">
        <v>2</v>
      </c>
      <c r="BK8" s="15">
        <v>5</v>
      </c>
      <c r="BL8" s="49" t="s">
        <v>66</v>
      </c>
      <c r="BM8" s="15">
        <v>6</v>
      </c>
      <c r="BN8" s="49">
        <v>3</v>
      </c>
      <c r="BO8" s="15">
        <v>6</v>
      </c>
      <c r="BP8" s="57" t="s">
        <v>67</v>
      </c>
      <c r="BQ8" s="15">
        <v>5</v>
      </c>
      <c r="BR8" s="49">
        <v>7</v>
      </c>
      <c r="BS8" s="15">
        <v>8</v>
      </c>
      <c r="BT8" s="49">
        <v>8</v>
      </c>
      <c r="BU8" s="15">
        <v>8</v>
      </c>
      <c r="BV8" s="49">
        <v>3</v>
      </c>
      <c r="BW8" s="15">
        <v>6</v>
      </c>
      <c r="BX8" s="49" t="s">
        <v>31</v>
      </c>
      <c r="BY8" s="15">
        <v>6</v>
      </c>
      <c r="BZ8" s="49">
        <v>4</v>
      </c>
      <c r="CA8" s="15">
        <v>8</v>
      </c>
      <c r="CB8" s="49">
        <v>2</v>
      </c>
      <c r="CC8" s="15">
        <v>5</v>
      </c>
    </row>
    <row r="9" spans="1:81" x14ac:dyDescent="0.25">
      <c r="A9" s="19" t="s">
        <v>23</v>
      </c>
      <c r="B9" s="165"/>
      <c r="C9" s="153"/>
      <c r="D9" s="170"/>
      <c r="E9" s="103"/>
      <c r="F9" s="94"/>
      <c r="G9" s="94"/>
      <c r="H9" s="20"/>
      <c r="I9" s="21"/>
      <c r="J9" s="62"/>
      <c r="K9" s="94"/>
      <c r="L9" s="20"/>
      <c r="M9" s="21"/>
      <c r="N9" s="62"/>
      <c r="O9" s="94"/>
      <c r="P9" s="62"/>
      <c r="Q9" s="94"/>
      <c r="R9" s="62"/>
      <c r="S9" s="94"/>
      <c r="T9" s="62"/>
      <c r="U9" s="94"/>
      <c r="V9" s="62"/>
      <c r="W9" s="94"/>
      <c r="X9" s="62"/>
      <c r="Y9" s="94"/>
      <c r="Z9" s="62"/>
      <c r="AA9" s="137"/>
      <c r="AB9" s="94"/>
      <c r="AC9" s="103"/>
      <c r="AD9" s="94"/>
      <c r="AE9" s="94"/>
      <c r="AF9" s="20"/>
      <c r="AG9" s="21"/>
      <c r="AH9" s="94"/>
      <c r="AI9" s="94"/>
      <c r="AJ9" s="20"/>
      <c r="AK9" s="21"/>
      <c r="AL9" s="20"/>
      <c r="AM9" s="21"/>
      <c r="AN9" s="20"/>
      <c r="AO9" s="21"/>
      <c r="AP9" s="20"/>
      <c r="AQ9" s="21"/>
      <c r="AR9" s="61"/>
      <c r="AS9" s="21"/>
      <c r="AT9" s="62"/>
      <c r="AU9" s="21"/>
      <c r="AV9" s="3"/>
      <c r="AW9" s="12"/>
      <c r="AX9" s="3"/>
      <c r="AY9" s="1"/>
      <c r="AZ9" s="48"/>
      <c r="BA9" s="12"/>
      <c r="BB9" s="48"/>
      <c r="BC9" s="12"/>
      <c r="BD9" s="48"/>
      <c r="BE9" s="12"/>
      <c r="BF9" s="48"/>
      <c r="BG9" s="12"/>
      <c r="BH9" s="48"/>
      <c r="BI9" s="12"/>
      <c r="BJ9" s="48"/>
      <c r="BK9" s="12"/>
      <c r="BL9" s="48"/>
      <c r="BM9" s="12"/>
      <c r="BN9" s="48"/>
      <c r="BO9" s="12"/>
      <c r="BP9" s="3"/>
      <c r="BQ9" s="12"/>
      <c r="BR9" s="48"/>
      <c r="BS9" s="12"/>
      <c r="BT9" s="48"/>
      <c r="BU9" s="12"/>
      <c r="BV9" s="48"/>
      <c r="BW9" s="12"/>
      <c r="BX9" s="48"/>
      <c r="BY9" s="12"/>
      <c r="BZ9" s="48"/>
      <c r="CA9" s="12"/>
      <c r="CB9" s="48"/>
      <c r="CC9" s="12"/>
    </row>
    <row r="10" spans="1:81" x14ac:dyDescent="0.25">
      <c r="A10" s="22" t="s">
        <v>24</v>
      </c>
      <c r="B10" s="165" t="s">
        <v>120</v>
      </c>
      <c r="C10" s="153">
        <v>8</v>
      </c>
      <c r="D10" s="171">
        <v>3</v>
      </c>
      <c r="E10" s="104">
        <v>9</v>
      </c>
      <c r="F10" s="95">
        <v>4</v>
      </c>
      <c r="G10" s="95">
        <v>10</v>
      </c>
      <c r="H10" s="149">
        <v>3</v>
      </c>
      <c r="I10" s="24">
        <v>7</v>
      </c>
      <c r="J10" s="148">
        <v>3</v>
      </c>
      <c r="K10" s="95">
        <v>8</v>
      </c>
      <c r="L10" s="23"/>
      <c r="M10" s="24"/>
      <c r="N10" s="64"/>
      <c r="O10" s="95"/>
      <c r="P10" s="64"/>
      <c r="Q10" s="95"/>
      <c r="R10" s="64"/>
      <c r="S10" s="95"/>
      <c r="T10" s="64"/>
      <c r="U10" s="95"/>
      <c r="V10" s="64"/>
      <c r="W10" s="95"/>
      <c r="X10" s="64"/>
      <c r="Y10" s="95"/>
      <c r="Z10" s="64"/>
      <c r="AA10" s="138"/>
      <c r="AB10" s="95">
        <v>1</v>
      </c>
      <c r="AC10" s="104">
        <v>6</v>
      </c>
      <c r="AD10" s="95" t="s">
        <v>103</v>
      </c>
      <c r="AE10" s="95">
        <v>14</v>
      </c>
      <c r="AF10" s="23"/>
      <c r="AG10" s="24"/>
      <c r="AH10" s="95">
        <v>1</v>
      </c>
      <c r="AI10" s="95">
        <v>5</v>
      </c>
      <c r="AJ10" s="23">
        <v>3</v>
      </c>
      <c r="AK10" s="24">
        <v>5</v>
      </c>
      <c r="AL10" s="23">
        <v>4</v>
      </c>
      <c r="AM10" s="24">
        <v>7</v>
      </c>
      <c r="AN10" s="23"/>
      <c r="AO10" s="24"/>
      <c r="AP10" s="23"/>
      <c r="AQ10" s="24"/>
      <c r="AR10" s="63">
        <v>6</v>
      </c>
      <c r="AS10" s="24">
        <v>9</v>
      </c>
      <c r="AT10" s="64">
        <v>7</v>
      </c>
      <c r="AU10" s="24">
        <v>10</v>
      </c>
      <c r="AV10" s="3"/>
      <c r="AW10" s="12"/>
      <c r="AX10" s="3"/>
      <c r="AY10" s="1"/>
      <c r="AZ10" s="48"/>
      <c r="BA10" s="12"/>
      <c r="BB10" s="48">
        <v>4</v>
      </c>
      <c r="BC10" s="12">
        <v>8</v>
      </c>
      <c r="BD10" s="48"/>
      <c r="BE10" s="12"/>
      <c r="BF10" s="48">
        <v>3</v>
      </c>
      <c r="BG10" s="12">
        <v>8</v>
      </c>
      <c r="BH10" s="48"/>
      <c r="BI10" s="12"/>
      <c r="BJ10" s="48">
        <v>4</v>
      </c>
      <c r="BK10" s="12">
        <v>8</v>
      </c>
      <c r="BL10" s="48">
        <v>1</v>
      </c>
      <c r="BM10" s="12">
        <v>5</v>
      </c>
      <c r="BN10" s="48"/>
      <c r="BO10" s="12"/>
      <c r="BP10" s="3">
        <v>6</v>
      </c>
      <c r="BQ10" s="12">
        <v>7</v>
      </c>
      <c r="BR10" s="48"/>
      <c r="BS10" s="12"/>
      <c r="BT10" s="48">
        <v>4</v>
      </c>
      <c r="BU10" s="12">
        <v>6</v>
      </c>
      <c r="BV10" s="48" t="s">
        <v>68</v>
      </c>
      <c r="BW10" s="12">
        <v>5</v>
      </c>
      <c r="BX10" s="48"/>
      <c r="BY10" s="12"/>
      <c r="BZ10" s="48">
        <v>3</v>
      </c>
      <c r="CA10" s="12">
        <v>8</v>
      </c>
      <c r="CB10" s="48" t="s">
        <v>69</v>
      </c>
      <c r="CC10" s="12">
        <v>6</v>
      </c>
    </row>
    <row r="11" spans="1:81" x14ac:dyDescent="0.25">
      <c r="A11" s="22" t="s">
        <v>25</v>
      </c>
      <c r="B11" s="165">
        <v>2</v>
      </c>
      <c r="C11" s="153">
        <v>7</v>
      </c>
      <c r="D11" s="171"/>
      <c r="E11" s="104"/>
      <c r="F11" s="95"/>
      <c r="G11" s="95"/>
      <c r="H11" s="23">
        <v>4</v>
      </c>
      <c r="I11" s="24">
        <v>8</v>
      </c>
      <c r="J11" s="64"/>
      <c r="K11" s="95"/>
      <c r="L11" s="149">
        <v>4</v>
      </c>
      <c r="M11" s="24">
        <v>9</v>
      </c>
      <c r="N11" s="148" t="s">
        <v>130</v>
      </c>
      <c r="O11" s="95">
        <v>7</v>
      </c>
      <c r="P11" s="64"/>
      <c r="Q11" s="95"/>
      <c r="R11" s="148" t="s">
        <v>127</v>
      </c>
      <c r="S11" s="95">
        <v>11</v>
      </c>
      <c r="T11" s="64"/>
      <c r="U11" s="95"/>
      <c r="V11" s="148">
        <v>7</v>
      </c>
      <c r="W11" s="95">
        <v>11</v>
      </c>
      <c r="X11" s="148">
        <v>6</v>
      </c>
      <c r="Y11" s="95">
        <v>10</v>
      </c>
      <c r="Z11" s="148">
        <v>2</v>
      </c>
      <c r="AA11" s="138">
        <v>6</v>
      </c>
      <c r="AB11" s="95">
        <v>4</v>
      </c>
      <c r="AC11" s="104">
        <v>8</v>
      </c>
      <c r="AD11" s="95" t="s">
        <v>105</v>
      </c>
      <c r="AE11" s="95">
        <v>5</v>
      </c>
      <c r="AF11" s="23">
        <v>9</v>
      </c>
      <c r="AG11" s="24">
        <v>10</v>
      </c>
      <c r="AH11" s="95" t="s">
        <v>104</v>
      </c>
      <c r="AI11" s="95">
        <v>14</v>
      </c>
      <c r="AJ11" s="23">
        <v>6</v>
      </c>
      <c r="AK11" s="24">
        <v>7</v>
      </c>
      <c r="AL11" s="23">
        <v>6</v>
      </c>
      <c r="AM11" s="24">
        <v>10</v>
      </c>
      <c r="AN11" s="23">
        <v>5</v>
      </c>
      <c r="AO11" s="24">
        <v>9</v>
      </c>
      <c r="AP11" s="23">
        <v>6</v>
      </c>
      <c r="AQ11" s="24">
        <v>8</v>
      </c>
      <c r="AR11" s="63">
        <v>7</v>
      </c>
      <c r="AS11" s="24">
        <v>9</v>
      </c>
      <c r="AT11" s="64">
        <v>5</v>
      </c>
      <c r="AU11" s="24">
        <v>9</v>
      </c>
      <c r="AV11" s="3">
        <v>10</v>
      </c>
      <c r="AW11" s="12">
        <v>10</v>
      </c>
      <c r="AX11" s="3">
        <v>9</v>
      </c>
      <c r="AY11" s="1">
        <v>10</v>
      </c>
      <c r="AZ11" s="48">
        <v>4</v>
      </c>
      <c r="BA11" s="12">
        <v>8</v>
      </c>
      <c r="BB11" s="48">
        <v>5</v>
      </c>
      <c r="BC11" s="12">
        <v>8</v>
      </c>
      <c r="BD11" s="48" t="s">
        <v>18</v>
      </c>
      <c r="BE11" s="12">
        <v>14</v>
      </c>
      <c r="BF11" s="48">
        <v>4</v>
      </c>
      <c r="BG11" s="12">
        <v>8</v>
      </c>
      <c r="BH11" s="48">
        <v>10</v>
      </c>
      <c r="BI11" s="12">
        <v>12</v>
      </c>
      <c r="BJ11" s="48">
        <v>5</v>
      </c>
      <c r="BK11" s="12">
        <v>8</v>
      </c>
      <c r="BL11" s="48" t="s">
        <v>70</v>
      </c>
      <c r="BM11" s="12">
        <v>3</v>
      </c>
      <c r="BN11" s="48" t="s">
        <v>71</v>
      </c>
      <c r="BO11" s="12">
        <v>4</v>
      </c>
      <c r="BP11" s="3" t="s">
        <v>69</v>
      </c>
      <c r="BQ11" s="12">
        <v>3</v>
      </c>
      <c r="BR11" s="48" t="s">
        <v>28</v>
      </c>
      <c r="BS11" s="12">
        <v>5</v>
      </c>
      <c r="BT11" s="48" t="s">
        <v>71</v>
      </c>
      <c r="BU11" s="12">
        <v>5</v>
      </c>
      <c r="BV11" s="48" t="s">
        <v>69</v>
      </c>
      <c r="BW11" s="12">
        <v>4</v>
      </c>
      <c r="BX11" s="48" t="s">
        <v>28</v>
      </c>
      <c r="BY11" s="12">
        <v>3</v>
      </c>
      <c r="BZ11" s="48" t="s">
        <v>72</v>
      </c>
      <c r="CA11" s="12">
        <v>4</v>
      </c>
      <c r="CB11" s="48" t="s">
        <v>18</v>
      </c>
      <c r="CC11" s="12">
        <v>14</v>
      </c>
    </row>
    <row r="12" spans="1:81" ht="15.75" customHeight="1" x14ac:dyDescent="0.25">
      <c r="A12" s="22" t="s">
        <v>26</v>
      </c>
      <c r="B12" s="165"/>
      <c r="C12" s="153"/>
      <c r="D12" s="171" t="s">
        <v>125</v>
      </c>
      <c r="E12" s="104">
        <v>5</v>
      </c>
      <c r="F12" s="95" t="s">
        <v>151</v>
      </c>
      <c r="G12" s="95">
        <v>10</v>
      </c>
      <c r="H12" s="23"/>
      <c r="I12" s="24"/>
      <c r="J12" s="64" t="s">
        <v>91</v>
      </c>
      <c r="K12" s="95">
        <v>4</v>
      </c>
      <c r="L12" s="23"/>
      <c r="M12" s="24"/>
      <c r="N12" s="148" t="s">
        <v>131</v>
      </c>
      <c r="O12" s="95">
        <v>4</v>
      </c>
      <c r="P12" s="148">
        <v>1</v>
      </c>
      <c r="Q12" s="95">
        <v>5</v>
      </c>
      <c r="R12" s="148" t="s">
        <v>125</v>
      </c>
      <c r="S12" s="95">
        <v>4</v>
      </c>
      <c r="T12" s="148">
        <v>8</v>
      </c>
      <c r="U12" s="95">
        <v>13</v>
      </c>
      <c r="V12" s="64"/>
      <c r="W12" s="95"/>
      <c r="X12" s="148" t="s">
        <v>118</v>
      </c>
      <c r="Y12" s="95">
        <v>5</v>
      </c>
      <c r="Z12" s="148">
        <v>5</v>
      </c>
      <c r="AA12" s="138">
        <v>9</v>
      </c>
      <c r="AB12" s="95">
        <v>5</v>
      </c>
      <c r="AC12" s="104">
        <v>8</v>
      </c>
      <c r="AD12" s="95"/>
      <c r="AE12" s="95"/>
      <c r="AF12" s="23">
        <v>1</v>
      </c>
      <c r="AG12" s="24">
        <v>5</v>
      </c>
      <c r="AH12" s="95"/>
      <c r="AI12" s="95"/>
      <c r="AJ12" s="23" t="s">
        <v>27</v>
      </c>
      <c r="AK12" s="24">
        <v>14</v>
      </c>
      <c r="AL12" s="23">
        <v>5</v>
      </c>
      <c r="AM12" s="24">
        <v>8</v>
      </c>
      <c r="AN12" s="23" t="s">
        <v>18</v>
      </c>
      <c r="AO12" s="24">
        <v>14</v>
      </c>
      <c r="AP12" s="23">
        <v>4</v>
      </c>
      <c r="AQ12" s="24">
        <v>8</v>
      </c>
      <c r="AR12" s="63">
        <v>9</v>
      </c>
      <c r="AS12" s="24">
        <v>11</v>
      </c>
      <c r="AT12" s="64"/>
      <c r="AU12" s="24"/>
      <c r="AV12" s="3">
        <v>8</v>
      </c>
      <c r="AW12" s="12">
        <v>10</v>
      </c>
      <c r="AX12" s="3">
        <v>6</v>
      </c>
      <c r="AY12" s="1">
        <v>10</v>
      </c>
      <c r="AZ12" s="48" t="s">
        <v>18</v>
      </c>
      <c r="BA12" s="12">
        <v>14</v>
      </c>
      <c r="BB12" s="48" t="s">
        <v>28</v>
      </c>
      <c r="BC12" s="12">
        <v>4</v>
      </c>
      <c r="BD12" s="48" t="s">
        <v>29</v>
      </c>
      <c r="BE12" s="12">
        <v>4</v>
      </c>
      <c r="BF12" s="48"/>
      <c r="BG12" s="12"/>
      <c r="BH12" s="48" t="s">
        <v>73</v>
      </c>
      <c r="BI12" s="12">
        <v>5</v>
      </c>
      <c r="BJ12" s="48">
        <v>7</v>
      </c>
      <c r="BK12" s="12">
        <v>11</v>
      </c>
      <c r="BL12" s="48">
        <v>3</v>
      </c>
      <c r="BM12" s="12">
        <v>7</v>
      </c>
      <c r="BN12" s="48">
        <v>4</v>
      </c>
      <c r="BO12" s="12">
        <v>7</v>
      </c>
      <c r="BP12" s="3">
        <v>4</v>
      </c>
      <c r="BQ12" s="12">
        <v>7</v>
      </c>
      <c r="BR12" s="48" t="s">
        <v>31</v>
      </c>
      <c r="BS12" s="12">
        <v>5</v>
      </c>
      <c r="BT12" s="48">
        <v>2</v>
      </c>
      <c r="BU12" s="12">
        <v>6</v>
      </c>
      <c r="BV12" s="48" t="s">
        <v>74</v>
      </c>
      <c r="BW12" s="12">
        <v>4</v>
      </c>
      <c r="BX12" s="48">
        <v>5</v>
      </c>
      <c r="BY12" s="12">
        <v>8</v>
      </c>
      <c r="BZ12" s="48">
        <v>8</v>
      </c>
      <c r="CA12" s="12">
        <v>10</v>
      </c>
      <c r="CB12" s="48"/>
      <c r="CC12" s="12"/>
    </row>
    <row r="13" spans="1:81" x14ac:dyDescent="0.25">
      <c r="A13" s="25" t="s">
        <v>30</v>
      </c>
      <c r="B13" s="176"/>
      <c r="C13" s="177"/>
      <c r="D13" s="172"/>
      <c r="E13" s="105"/>
      <c r="F13" s="96"/>
      <c r="G13" s="96"/>
      <c r="H13" s="26"/>
      <c r="I13" s="27"/>
      <c r="J13" s="66"/>
      <c r="K13" s="96"/>
      <c r="L13" s="26"/>
      <c r="M13" s="27"/>
      <c r="N13" s="66"/>
      <c r="O13" s="96"/>
      <c r="P13" s="66"/>
      <c r="Q13" s="96"/>
      <c r="R13" s="66"/>
      <c r="S13" s="96"/>
      <c r="T13" s="66"/>
      <c r="U13" s="96"/>
      <c r="V13" s="66"/>
      <c r="W13" s="96"/>
      <c r="X13" s="66"/>
      <c r="Y13" s="96"/>
      <c r="Z13" s="66"/>
      <c r="AA13" s="139"/>
      <c r="AB13" s="96"/>
      <c r="AC13" s="105"/>
      <c r="AD13" s="96" t="s">
        <v>106</v>
      </c>
      <c r="AE13" s="96">
        <v>6</v>
      </c>
      <c r="AF13" s="26"/>
      <c r="AG13" s="27"/>
      <c r="AH13" s="96"/>
      <c r="AI13" s="96"/>
      <c r="AJ13" s="26"/>
      <c r="AK13" s="27"/>
      <c r="AL13" s="26"/>
      <c r="AM13" s="27"/>
      <c r="AN13" s="26"/>
      <c r="AO13" s="27"/>
      <c r="AP13" s="26"/>
      <c r="AQ13" s="27"/>
      <c r="AR13" s="65"/>
      <c r="AS13" s="27"/>
      <c r="AT13" s="66"/>
      <c r="AU13" s="27"/>
      <c r="AV13" s="70" t="s">
        <v>27</v>
      </c>
      <c r="AW13" s="51">
        <v>14</v>
      </c>
      <c r="AX13" s="70">
        <v>7</v>
      </c>
      <c r="AY13" s="81">
        <v>10</v>
      </c>
      <c r="AZ13" s="50"/>
      <c r="BA13" s="51"/>
      <c r="BB13" s="50" t="s">
        <v>31</v>
      </c>
      <c r="BC13" s="51">
        <v>7</v>
      </c>
      <c r="BD13" s="50" t="s">
        <v>32</v>
      </c>
      <c r="BE13" s="51">
        <v>7</v>
      </c>
      <c r="BF13" s="50"/>
      <c r="BG13" s="51"/>
      <c r="BH13" s="50" t="s">
        <v>71</v>
      </c>
      <c r="BI13" s="51">
        <v>7</v>
      </c>
      <c r="BJ13" s="50"/>
      <c r="BK13" s="51"/>
      <c r="BL13" s="50"/>
      <c r="BM13" s="51"/>
      <c r="BN13" s="50" t="s">
        <v>75</v>
      </c>
      <c r="BO13" s="51">
        <v>14</v>
      </c>
      <c r="BP13" s="70">
        <v>3</v>
      </c>
      <c r="BQ13" s="51">
        <v>6</v>
      </c>
      <c r="BR13" s="50" t="s">
        <v>76</v>
      </c>
      <c r="BS13" s="51">
        <v>12</v>
      </c>
      <c r="BT13" s="50" t="s">
        <v>73</v>
      </c>
      <c r="BU13" s="51">
        <v>5</v>
      </c>
      <c r="BV13" s="50" t="s">
        <v>67</v>
      </c>
      <c r="BW13" s="51">
        <v>5</v>
      </c>
      <c r="BX13" s="50">
        <v>2</v>
      </c>
      <c r="BY13" s="51">
        <v>5</v>
      </c>
      <c r="BZ13" s="50" t="s">
        <v>77</v>
      </c>
      <c r="CA13" s="51">
        <v>5</v>
      </c>
      <c r="CB13" s="50" t="s">
        <v>67</v>
      </c>
      <c r="CC13" s="51">
        <v>4</v>
      </c>
    </row>
    <row r="14" spans="1:81" ht="17.25" customHeight="1" x14ac:dyDescent="0.25">
      <c r="A14" s="22" t="s">
        <v>33</v>
      </c>
      <c r="B14" s="165">
        <v>5</v>
      </c>
      <c r="C14" s="153">
        <v>10</v>
      </c>
      <c r="D14" s="171">
        <v>4</v>
      </c>
      <c r="E14" s="104">
        <v>10</v>
      </c>
      <c r="F14" s="95">
        <v>3</v>
      </c>
      <c r="G14" s="95">
        <v>10</v>
      </c>
      <c r="H14" s="23" t="s">
        <v>120</v>
      </c>
      <c r="I14" s="24">
        <v>10</v>
      </c>
      <c r="J14" s="64">
        <v>5</v>
      </c>
      <c r="K14" s="95">
        <v>10</v>
      </c>
      <c r="L14" s="149">
        <v>6</v>
      </c>
      <c r="M14" s="24">
        <v>11</v>
      </c>
      <c r="N14" s="148">
        <v>2</v>
      </c>
      <c r="O14" s="95">
        <v>7</v>
      </c>
      <c r="P14" s="148">
        <v>3</v>
      </c>
      <c r="Q14" s="95">
        <v>8</v>
      </c>
      <c r="R14" s="148">
        <v>7</v>
      </c>
      <c r="S14" s="95">
        <v>11</v>
      </c>
      <c r="T14" s="148">
        <v>2</v>
      </c>
      <c r="U14" s="95">
        <v>7</v>
      </c>
      <c r="V14" s="148">
        <v>5</v>
      </c>
      <c r="W14" s="95">
        <v>10</v>
      </c>
      <c r="X14" s="148">
        <v>7</v>
      </c>
      <c r="Y14" s="95">
        <v>11</v>
      </c>
      <c r="Z14" s="148">
        <v>1</v>
      </c>
      <c r="AA14" s="138">
        <v>6</v>
      </c>
      <c r="AB14" s="95">
        <v>7</v>
      </c>
      <c r="AC14" s="104">
        <v>10</v>
      </c>
      <c r="AD14" s="95">
        <v>8</v>
      </c>
      <c r="AE14" s="95">
        <v>10</v>
      </c>
      <c r="AF14" s="23">
        <v>7</v>
      </c>
      <c r="AG14" s="24">
        <v>10</v>
      </c>
      <c r="AH14" s="95">
        <v>10</v>
      </c>
      <c r="AI14" s="95">
        <v>12</v>
      </c>
      <c r="AJ14" s="23">
        <v>10</v>
      </c>
      <c r="AK14" s="24">
        <v>11</v>
      </c>
      <c r="AL14" s="23">
        <v>8</v>
      </c>
      <c r="AM14" s="24">
        <v>10</v>
      </c>
      <c r="AN14" s="23">
        <v>9</v>
      </c>
      <c r="AO14" s="24">
        <v>11</v>
      </c>
      <c r="AP14" s="23">
        <v>10</v>
      </c>
      <c r="AQ14" s="24">
        <v>13</v>
      </c>
      <c r="AR14" s="63" t="s">
        <v>18</v>
      </c>
      <c r="AS14" s="24">
        <v>14</v>
      </c>
      <c r="AT14" s="64">
        <v>9</v>
      </c>
      <c r="AU14" s="24">
        <v>11</v>
      </c>
      <c r="AV14" s="3">
        <v>4</v>
      </c>
      <c r="AW14" s="12">
        <v>6</v>
      </c>
      <c r="AX14" s="3">
        <v>10</v>
      </c>
      <c r="AY14" s="1">
        <v>12</v>
      </c>
      <c r="AZ14" s="48">
        <v>9</v>
      </c>
      <c r="BA14" s="12">
        <v>10</v>
      </c>
      <c r="BB14" s="48">
        <v>7</v>
      </c>
      <c r="BC14" s="12">
        <v>10</v>
      </c>
      <c r="BD14" s="48">
        <v>8</v>
      </c>
      <c r="BE14" s="12">
        <v>11</v>
      </c>
      <c r="BF14" s="48" t="s">
        <v>35</v>
      </c>
      <c r="BG14" s="12">
        <v>14</v>
      </c>
      <c r="BH14" s="48">
        <v>7</v>
      </c>
      <c r="BI14" s="12">
        <v>11</v>
      </c>
      <c r="BJ14" s="48">
        <v>8</v>
      </c>
      <c r="BK14" s="12">
        <v>11</v>
      </c>
      <c r="BL14" s="48" t="s">
        <v>18</v>
      </c>
      <c r="BM14" s="12">
        <v>14</v>
      </c>
      <c r="BN14" s="48">
        <v>8</v>
      </c>
      <c r="BO14" s="12">
        <v>9</v>
      </c>
      <c r="BP14" s="3">
        <v>5</v>
      </c>
      <c r="BQ14" s="12">
        <v>8</v>
      </c>
      <c r="BR14" s="48">
        <v>11</v>
      </c>
      <c r="BS14" s="12">
        <v>11</v>
      </c>
      <c r="BT14" s="48">
        <v>3</v>
      </c>
      <c r="BU14" s="12">
        <v>6</v>
      </c>
      <c r="BV14" s="48">
        <v>8</v>
      </c>
      <c r="BW14" s="12">
        <v>10</v>
      </c>
      <c r="BX14" s="48" t="s">
        <v>17</v>
      </c>
      <c r="BY14" s="12">
        <v>13</v>
      </c>
      <c r="BZ14" s="48">
        <v>9</v>
      </c>
      <c r="CA14" s="12">
        <v>11</v>
      </c>
      <c r="CB14" s="48">
        <v>9</v>
      </c>
      <c r="CC14" s="12">
        <v>13</v>
      </c>
    </row>
    <row r="15" spans="1:81" x14ac:dyDescent="0.25">
      <c r="A15" s="22" t="s">
        <v>34</v>
      </c>
      <c r="B15" s="165" t="s">
        <v>100</v>
      </c>
      <c r="C15" s="153">
        <v>11</v>
      </c>
      <c r="D15" s="171">
        <v>5</v>
      </c>
      <c r="E15" s="104">
        <v>10</v>
      </c>
      <c r="F15" s="95">
        <v>5</v>
      </c>
      <c r="G15" s="95">
        <v>8</v>
      </c>
      <c r="H15" s="23">
        <v>1</v>
      </c>
      <c r="I15" s="24">
        <v>5</v>
      </c>
      <c r="J15" s="64">
        <v>6</v>
      </c>
      <c r="K15" s="95">
        <v>7</v>
      </c>
      <c r="L15" s="149">
        <v>3</v>
      </c>
      <c r="M15" s="24">
        <v>8</v>
      </c>
      <c r="N15" s="148">
        <v>3</v>
      </c>
      <c r="O15" s="95">
        <v>7</v>
      </c>
      <c r="P15" s="148">
        <v>7</v>
      </c>
      <c r="Q15" s="95">
        <v>11</v>
      </c>
      <c r="R15" s="148" t="s">
        <v>126</v>
      </c>
      <c r="S15" s="95">
        <v>10</v>
      </c>
      <c r="T15" s="150">
        <v>5</v>
      </c>
      <c r="U15" s="95">
        <v>10</v>
      </c>
      <c r="V15" s="148" t="s">
        <v>128</v>
      </c>
      <c r="W15" s="95">
        <v>14</v>
      </c>
      <c r="X15" s="150">
        <v>3</v>
      </c>
      <c r="Y15" s="95">
        <v>8</v>
      </c>
      <c r="Z15" s="150">
        <v>8</v>
      </c>
      <c r="AA15" s="138">
        <v>15</v>
      </c>
      <c r="AB15" s="95" t="s">
        <v>102</v>
      </c>
      <c r="AC15" s="104">
        <v>5</v>
      </c>
      <c r="AD15" s="95">
        <v>3</v>
      </c>
      <c r="AE15" s="95">
        <v>7</v>
      </c>
      <c r="AF15" s="23" t="s">
        <v>18</v>
      </c>
      <c r="AG15" s="24">
        <v>14</v>
      </c>
      <c r="AH15" s="95">
        <v>3</v>
      </c>
      <c r="AI15" s="95">
        <v>8</v>
      </c>
      <c r="AJ15" s="23">
        <v>8</v>
      </c>
      <c r="AK15" s="24">
        <v>9</v>
      </c>
      <c r="AL15" s="23">
        <v>7</v>
      </c>
      <c r="AM15" s="24">
        <v>10</v>
      </c>
      <c r="AN15" s="23">
        <v>6</v>
      </c>
      <c r="AO15" s="24">
        <v>9</v>
      </c>
      <c r="AP15" s="23">
        <v>9</v>
      </c>
      <c r="AQ15" s="24">
        <v>11</v>
      </c>
      <c r="AR15" s="63">
        <v>8</v>
      </c>
      <c r="AS15" s="24">
        <v>11</v>
      </c>
      <c r="AT15" s="64">
        <v>6</v>
      </c>
      <c r="AU15" s="24">
        <v>9</v>
      </c>
      <c r="AV15" s="3">
        <v>7</v>
      </c>
      <c r="AW15" s="12">
        <v>9</v>
      </c>
      <c r="AX15" s="3">
        <v>5</v>
      </c>
      <c r="AY15" s="1">
        <v>8</v>
      </c>
      <c r="AZ15" s="48">
        <v>7</v>
      </c>
      <c r="BA15" s="12">
        <v>10</v>
      </c>
      <c r="BB15" s="48" t="s">
        <v>35</v>
      </c>
      <c r="BC15" s="12">
        <v>14</v>
      </c>
      <c r="BD15" s="48">
        <v>6</v>
      </c>
      <c r="BE15" s="12">
        <v>9</v>
      </c>
      <c r="BF15" s="48">
        <v>7</v>
      </c>
      <c r="BG15" s="12">
        <v>10</v>
      </c>
      <c r="BH15" s="48" t="s">
        <v>18</v>
      </c>
      <c r="BI15" s="12">
        <v>14</v>
      </c>
      <c r="BJ15" s="48"/>
      <c r="BK15" s="12"/>
      <c r="BL15" s="48">
        <v>9</v>
      </c>
      <c r="BM15" s="12">
        <v>11</v>
      </c>
      <c r="BN15" s="48">
        <v>5</v>
      </c>
      <c r="BO15" s="12">
        <v>8</v>
      </c>
      <c r="BP15" s="3" t="s">
        <v>27</v>
      </c>
      <c r="BQ15" s="12">
        <v>15</v>
      </c>
      <c r="BR15" s="48">
        <v>10</v>
      </c>
      <c r="BS15" s="12">
        <v>10</v>
      </c>
      <c r="BT15" s="48">
        <v>11</v>
      </c>
      <c r="BU15" s="12">
        <v>13</v>
      </c>
      <c r="BV15" s="48">
        <v>9</v>
      </c>
      <c r="BW15" s="12">
        <v>11</v>
      </c>
      <c r="BX15" s="48">
        <v>10</v>
      </c>
      <c r="BY15" s="12">
        <v>11</v>
      </c>
      <c r="BZ15" s="48">
        <v>7</v>
      </c>
      <c r="CA15" s="12">
        <v>9</v>
      </c>
      <c r="CB15" s="48">
        <v>6</v>
      </c>
      <c r="CC15" s="12">
        <v>9</v>
      </c>
    </row>
    <row r="16" spans="1:81" x14ac:dyDescent="0.25">
      <c r="A16" s="16" t="s">
        <v>115</v>
      </c>
      <c r="B16" s="165">
        <v>6</v>
      </c>
      <c r="C16" s="153">
        <v>16</v>
      </c>
      <c r="D16" s="169">
        <v>5</v>
      </c>
      <c r="E16" s="102">
        <v>11</v>
      </c>
      <c r="F16" s="93">
        <v>3</v>
      </c>
      <c r="G16" s="93">
        <v>10</v>
      </c>
      <c r="H16" s="17">
        <v>5</v>
      </c>
      <c r="I16" s="18">
        <v>12</v>
      </c>
      <c r="J16" s="60">
        <v>5</v>
      </c>
      <c r="K16" s="93">
        <v>10</v>
      </c>
      <c r="L16" s="144">
        <v>7</v>
      </c>
      <c r="M16" s="18">
        <v>14</v>
      </c>
      <c r="N16" s="125">
        <v>6</v>
      </c>
      <c r="O16" s="93">
        <v>15</v>
      </c>
      <c r="P16" s="125">
        <v>2</v>
      </c>
      <c r="Q16" s="93">
        <v>10</v>
      </c>
      <c r="R16" s="125">
        <v>7</v>
      </c>
      <c r="S16" s="93">
        <v>18</v>
      </c>
      <c r="T16" s="125">
        <v>6</v>
      </c>
      <c r="U16" s="93">
        <v>12</v>
      </c>
      <c r="V16" s="125">
        <v>6</v>
      </c>
      <c r="W16" s="93">
        <v>15</v>
      </c>
      <c r="X16" s="125">
        <v>5</v>
      </c>
      <c r="Y16" s="93">
        <v>12</v>
      </c>
      <c r="Z16" s="125">
        <v>7</v>
      </c>
      <c r="AA16" s="136">
        <v>15</v>
      </c>
      <c r="AB16" s="93">
        <v>3</v>
      </c>
      <c r="AC16" s="102">
        <v>8</v>
      </c>
      <c r="AD16" s="93">
        <v>7</v>
      </c>
      <c r="AE16" s="93">
        <v>10</v>
      </c>
      <c r="AF16" s="17">
        <v>10</v>
      </c>
      <c r="AG16" s="18">
        <v>12</v>
      </c>
      <c r="AH16" s="93">
        <v>7</v>
      </c>
      <c r="AI16" s="93">
        <v>11</v>
      </c>
      <c r="AJ16" s="17" t="s">
        <v>17</v>
      </c>
      <c r="AK16" s="18">
        <v>14</v>
      </c>
      <c r="AL16" s="17">
        <v>9</v>
      </c>
      <c r="AM16" s="18">
        <v>11</v>
      </c>
      <c r="AN16" s="17">
        <v>8</v>
      </c>
      <c r="AO16" s="18">
        <v>11</v>
      </c>
      <c r="AP16" s="17" t="s">
        <v>35</v>
      </c>
      <c r="AQ16" s="18">
        <v>14</v>
      </c>
      <c r="AR16" s="59" t="s">
        <v>35</v>
      </c>
      <c r="AS16" s="18">
        <v>14</v>
      </c>
      <c r="AT16" s="60">
        <v>8</v>
      </c>
      <c r="AU16" s="18">
        <v>10</v>
      </c>
      <c r="AV16" s="57">
        <v>11</v>
      </c>
      <c r="AW16" s="15">
        <v>11</v>
      </c>
      <c r="AX16" s="57" t="s">
        <v>35</v>
      </c>
      <c r="AY16" s="80">
        <v>14</v>
      </c>
      <c r="AZ16" s="49" t="s">
        <v>35</v>
      </c>
      <c r="BA16" s="15">
        <v>14</v>
      </c>
      <c r="BB16" s="49" t="s">
        <v>18</v>
      </c>
      <c r="BC16" s="15">
        <v>14</v>
      </c>
      <c r="BD16" s="49" t="s">
        <v>35</v>
      </c>
      <c r="BE16" s="15">
        <v>14</v>
      </c>
      <c r="BF16" s="49">
        <v>9</v>
      </c>
      <c r="BG16" s="15">
        <v>11</v>
      </c>
      <c r="BH16" s="49">
        <v>6</v>
      </c>
      <c r="BI16" s="15">
        <v>9</v>
      </c>
      <c r="BJ16" s="49">
        <v>10</v>
      </c>
      <c r="BK16" s="15">
        <v>13</v>
      </c>
      <c r="BL16" s="49">
        <v>7</v>
      </c>
      <c r="BM16" s="15">
        <v>10</v>
      </c>
      <c r="BN16" s="49" t="s">
        <v>27</v>
      </c>
      <c r="BO16" s="15">
        <v>13</v>
      </c>
      <c r="BP16" s="57">
        <v>11</v>
      </c>
      <c r="BQ16" s="15">
        <v>12</v>
      </c>
      <c r="BR16" s="49" t="s">
        <v>18</v>
      </c>
      <c r="BS16" s="15">
        <v>14</v>
      </c>
      <c r="BT16" s="49">
        <v>10</v>
      </c>
      <c r="BU16" s="15">
        <v>11</v>
      </c>
      <c r="BV16" s="49">
        <v>10</v>
      </c>
      <c r="BW16" s="15">
        <v>13</v>
      </c>
      <c r="BX16" s="49" t="s">
        <v>78</v>
      </c>
      <c r="BY16" s="15">
        <v>14</v>
      </c>
      <c r="BZ16" s="49" t="s">
        <v>18</v>
      </c>
      <c r="CA16" s="15">
        <v>14</v>
      </c>
      <c r="CB16" s="49">
        <v>10</v>
      </c>
      <c r="CC16" s="15">
        <v>13</v>
      </c>
    </row>
    <row r="17" spans="1:81" x14ac:dyDescent="0.25">
      <c r="A17" s="28" t="s">
        <v>37</v>
      </c>
      <c r="B17" s="176"/>
      <c r="C17" s="177"/>
      <c r="D17" s="173"/>
      <c r="E17" s="106"/>
      <c r="F17" s="97"/>
      <c r="G17" s="97"/>
      <c r="H17" s="29"/>
      <c r="I17" s="30"/>
      <c r="J17" s="68"/>
      <c r="K17" s="97"/>
      <c r="L17" s="29"/>
      <c r="M17" s="30"/>
      <c r="N17" s="68"/>
      <c r="O17" s="97"/>
      <c r="P17" s="68"/>
      <c r="Q17" s="97"/>
      <c r="R17" s="68"/>
      <c r="S17" s="97"/>
      <c r="T17" s="68"/>
      <c r="U17" s="97"/>
      <c r="V17" s="68"/>
      <c r="W17" s="97"/>
      <c r="X17" s="68"/>
      <c r="Y17" s="97"/>
      <c r="Z17" s="68"/>
      <c r="AA17" s="140"/>
      <c r="AB17" s="97"/>
      <c r="AC17" s="106"/>
      <c r="AD17" s="97"/>
      <c r="AE17" s="97"/>
      <c r="AF17" s="29"/>
      <c r="AG17" s="30"/>
      <c r="AH17" s="97"/>
      <c r="AI17" s="97"/>
      <c r="AJ17" s="29"/>
      <c r="AK17" s="30"/>
      <c r="AL17" s="29"/>
      <c r="AM17" s="30"/>
      <c r="AN17" s="29"/>
      <c r="AO17" s="30"/>
      <c r="AP17" s="29"/>
      <c r="AQ17" s="30"/>
      <c r="AR17" s="67"/>
      <c r="AS17" s="30"/>
      <c r="AT17" s="68"/>
      <c r="AU17" s="30"/>
      <c r="AV17" s="71"/>
      <c r="AW17" s="53"/>
      <c r="AX17" s="71"/>
      <c r="AY17" s="82"/>
      <c r="AZ17" s="52"/>
      <c r="BA17" s="53"/>
      <c r="BB17" s="52"/>
      <c r="BC17" s="53"/>
      <c r="BD17" s="52"/>
      <c r="BE17" s="53"/>
      <c r="BF17" s="52"/>
      <c r="BG17" s="53"/>
      <c r="BH17" s="52"/>
      <c r="BI17" s="53"/>
      <c r="BJ17" s="52"/>
      <c r="BK17" s="53"/>
      <c r="BL17" s="52"/>
      <c r="BM17" s="53"/>
      <c r="BN17" s="52"/>
      <c r="BO17" s="53"/>
      <c r="BP17" s="71"/>
      <c r="BQ17" s="53"/>
      <c r="BR17" s="52"/>
      <c r="BS17" s="53"/>
      <c r="BT17" s="52"/>
      <c r="BU17" s="53"/>
      <c r="BV17" s="52"/>
      <c r="BW17" s="53"/>
      <c r="BX17" s="52"/>
      <c r="BY17" s="53"/>
      <c r="BZ17" s="52"/>
      <c r="CA17" s="53"/>
      <c r="CB17" s="52"/>
      <c r="CC17" s="53"/>
    </row>
    <row r="18" spans="1:81" x14ac:dyDescent="0.25">
      <c r="A18" s="22" t="s">
        <v>38</v>
      </c>
      <c r="B18" s="165">
        <v>8</v>
      </c>
      <c r="C18" s="153">
        <v>13</v>
      </c>
      <c r="D18" s="171" t="s">
        <v>161</v>
      </c>
      <c r="E18" s="104">
        <v>11</v>
      </c>
      <c r="F18" s="95">
        <v>7</v>
      </c>
      <c r="G18" s="95">
        <v>11</v>
      </c>
      <c r="H18" s="159" t="s">
        <v>145</v>
      </c>
      <c r="I18" s="24">
        <v>11</v>
      </c>
      <c r="J18" s="64" t="s">
        <v>145</v>
      </c>
      <c r="K18" s="95">
        <v>9</v>
      </c>
      <c r="L18" s="149">
        <v>5</v>
      </c>
      <c r="M18" s="24">
        <v>10</v>
      </c>
      <c r="N18" s="148" t="s">
        <v>133</v>
      </c>
      <c r="O18" s="95">
        <v>11</v>
      </c>
      <c r="P18" s="148" t="s">
        <v>137</v>
      </c>
      <c r="Q18" s="95">
        <v>11</v>
      </c>
      <c r="R18" s="148">
        <v>3</v>
      </c>
      <c r="S18" s="95">
        <v>7</v>
      </c>
      <c r="T18" s="148">
        <v>6</v>
      </c>
      <c r="U18" s="95">
        <v>11</v>
      </c>
      <c r="V18" s="148" t="s">
        <v>136</v>
      </c>
      <c r="W18" s="95">
        <v>11</v>
      </c>
      <c r="X18" s="148" t="s">
        <v>134</v>
      </c>
      <c r="Y18" s="95">
        <v>11</v>
      </c>
      <c r="Z18" s="148">
        <v>3</v>
      </c>
      <c r="AA18" s="138">
        <v>8</v>
      </c>
      <c r="AB18" s="95">
        <v>9</v>
      </c>
      <c r="AC18" s="104">
        <v>10</v>
      </c>
      <c r="AD18" s="95" t="s">
        <v>104</v>
      </c>
      <c r="AE18" s="95">
        <v>14</v>
      </c>
      <c r="AF18" s="23" t="s">
        <v>35</v>
      </c>
      <c r="AG18" s="24">
        <v>14</v>
      </c>
      <c r="AH18" s="95">
        <v>5</v>
      </c>
      <c r="AI18" s="95">
        <v>8</v>
      </c>
      <c r="AJ18" s="23">
        <v>5</v>
      </c>
      <c r="AK18" s="24">
        <v>6</v>
      </c>
      <c r="AL18" s="23">
        <v>10</v>
      </c>
      <c r="AM18" s="24">
        <v>13</v>
      </c>
      <c r="AN18" s="23">
        <v>10</v>
      </c>
      <c r="AO18" s="24">
        <v>12</v>
      </c>
      <c r="AP18" s="23" t="s">
        <v>18</v>
      </c>
      <c r="AQ18" s="24">
        <v>14</v>
      </c>
      <c r="AR18" s="63">
        <v>10</v>
      </c>
      <c r="AS18" s="24">
        <v>12</v>
      </c>
      <c r="AT18" s="23" t="s">
        <v>35</v>
      </c>
      <c r="AU18" s="24">
        <v>14</v>
      </c>
      <c r="AV18" s="3">
        <v>9</v>
      </c>
      <c r="AW18" s="12">
        <v>10</v>
      </c>
      <c r="AX18" s="3">
        <v>8</v>
      </c>
      <c r="AY18" s="1">
        <v>11</v>
      </c>
      <c r="AZ18" s="48">
        <v>6</v>
      </c>
      <c r="BA18" s="12">
        <v>9</v>
      </c>
      <c r="BB18" s="48">
        <v>9</v>
      </c>
      <c r="BC18" s="12">
        <v>11</v>
      </c>
      <c r="BD18" s="48">
        <v>5</v>
      </c>
      <c r="BE18" s="12">
        <v>9</v>
      </c>
      <c r="BF18" s="48">
        <v>5</v>
      </c>
      <c r="BG18" s="12">
        <v>9</v>
      </c>
      <c r="BH18" s="48">
        <v>8</v>
      </c>
      <c r="BI18" s="12">
        <v>11</v>
      </c>
      <c r="BJ18" s="48" t="s">
        <v>18</v>
      </c>
      <c r="BK18" s="12">
        <v>14</v>
      </c>
      <c r="BL18" s="48">
        <v>8</v>
      </c>
      <c r="BM18" s="12">
        <v>10</v>
      </c>
      <c r="BN18" s="48">
        <v>1</v>
      </c>
      <c r="BO18" s="12">
        <v>4</v>
      </c>
      <c r="BP18" s="3">
        <v>9</v>
      </c>
      <c r="BQ18" s="12">
        <v>8</v>
      </c>
      <c r="BR18" s="48">
        <v>3</v>
      </c>
      <c r="BS18" s="12">
        <v>6</v>
      </c>
      <c r="BT18" s="48">
        <v>6</v>
      </c>
      <c r="BU18" s="12">
        <v>7</v>
      </c>
      <c r="BV18" s="48" t="s">
        <v>35</v>
      </c>
      <c r="BW18" s="12">
        <v>14</v>
      </c>
      <c r="BX18" s="48">
        <v>9</v>
      </c>
      <c r="BY18" s="12">
        <v>10</v>
      </c>
      <c r="BZ18" s="48">
        <v>5</v>
      </c>
      <c r="CA18" s="12">
        <v>8</v>
      </c>
      <c r="CB18" s="48" t="s">
        <v>35</v>
      </c>
      <c r="CC18" s="12">
        <v>14</v>
      </c>
    </row>
    <row r="19" spans="1:81" ht="14.4" thickBot="1" x14ac:dyDescent="0.3">
      <c r="A19" s="31" t="s">
        <v>39</v>
      </c>
      <c r="B19" s="174"/>
      <c r="C19" s="178"/>
      <c r="D19" s="174"/>
      <c r="E19" s="175"/>
      <c r="F19" s="83"/>
      <c r="G19" s="83"/>
      <c r="H19" s="32"/>
      <c r="I19" s="33"/>
      <c r="J19" s="107"/>
      <c r="K19" s="83"/>
      <c r="L19" s="32"/>
      <c r="M19" s="33"/>
      <c r="N19" s="107"/>
      <c r="O19" s="83"/>
      <c r="P19" s="107"/>
      <c r="Q19" s="83"/>
      <c r="R19" s="107"/>
      <c r="S19" s="83"/>
      <c r="T19" s="107"/>
      <c r="U19" s="83"/>
      <c r="V19" s="107"/>
      <c r="W19" s="83"/>
      <c r="X19" s="107"/>
      <c r="Y19" s="83"/>
      <c r="Z19" s="107"/>
      <c r="AA19" s="141"/>
      <c r="AB19" s="83" t="s">
        <v>103</v>
      </c>
      <c r="AC19" s="108">
        <v>14</v>
      </c>
      <c r="AD19" s="83">
        <v>5</v>
      </c>
      <c r="AE19" s="83">
        <v>8</v>
      </c>
      <c r="AF19" s="32">
        <v>8</v>
      </c>
      <c r="AG19" s="33">
        <v>10</v>
      </c>
      <c r="AH19" s="83" t="s">
        <v>103</v>
      </c>
      <c r="AI19" s="83">
        <v>14</v>
      </c>
      <c r="AJ19" s="32">
        <v>4</v>
      </c>
      <c r="AK19" s="33">
        <v>6</v>
      </c>
      <c r="AL19" s="32" t="s">
        <v>35</v>
      </c>
      <c r="AM19" s="33">
        <v>14</v>
      </c>
      <c r="AN19" s="32" t="s">
        <v>35</v>
      </c>
      <c r="AO19" s="33">
        <v>14</v>
      </c>
      <c r="AP19" s="32">
        <v>3</v>
      </c>
      <c r="AQ19" s="33">
        <v>7</v>
      </c>
      <c r="AR19" s="69">
        <v>2</v>
      </c>
      <c r="AS19" s="33">
        <v>6</v>
      </c>
      <c r="AT19" s="32" t="s">
        <v>18</v>
      </c>
      <c r="AU19" s="33">
        <v>14</v>
      </c>
      <c r="AV19" s="69">
        <v>6</v>
      </c>
      <c r="AW19" s="33">
        <v>8</v>
      </c>
      <c r="AX19" s="69">
        <v>1</v>
      </c>
      <c r="AY19" s="83">
        <v>5</v>
      </c>
      <c r="AZ19" s="54">
        <v>8</v>
      </c>
      <c r="BA19" s="33">
        <v>10</v>
      </c>
      <c r="BB19" s="54">
        <v>6</v>
      </c>
      <c r="BC19" s="33">
        <v>8</v>
      </c>
      <c r="BD19" s="54">
        <v>7</v>
      </c>
      <c r="BE19" s="33">
        <v>10</v>
      </c>
      <c r="BF19" s="54">
        <v>10</v>
      </c>
      <c r="BG19" s="33">
        <v>11</v>
      </c>
      <c r="BH19" s="54">
        <v>3</v>
      </c>
      <c r="BI19" s="33">
        <v>6</v>
      </c>
      <c r="BJ19" s="54" t="s">
        <v>35</v>
      </c>
      <c r="BK19" s="33">
        <v>14</v>
      </c>
      <c r="BL19" s="54">
        <v>10</v>
      </c>
      <c r="BM19" s="33">
        <v>11</v>
      </c>
      <c r="BN19" s="54" t="s">
        <v>79</v>
      </c>
      <c r="BO19" s="33">
        <v>13</v>
      </c>
      <c r="BP19" s="69" t="s">
        <v>17</v>
      </c>
      <c r="BQ19" s="33">
        <v>15</v>
      </c>
      <c r="BR19" s="54" t="s">
        <v>35</v>
      </c>
      <c r="BS19" s="33">
        <v>14</v>
      </c>
      <c r="BT19" s="54" t="s">
        <v>17</v>
      </c>
      <c r="BU19" s="33">
        <v>14</v>
      </c>
      <c r="BV19" s="54">
        <v>4</v>
      </c>
      <c r="BW19" s="33">
        <v>7</v>
      </c>
      <c r="BX19" s="54">
        <v>11</v>
      </c>
      <c r="BY19" s="33">
        <v>12</v>
      </c>
      <c r="BZ19" s="54">
        <v>10</v>
      </c>
      <c r="CA19" s="33">
        <v>12</v>
      </c>
      <c r="CB19" s="54">
        <v>8</v>
      </c>
      <c r="CC19" s="33">
        <v>11</v>
      </c>
    </row>
    <row r="20" spans="1:81" ht="13.5" customHeight="1" thickBot="1" x14ac:dyDescent="0.3">
      <c r="A20" s="34" t="s">
        <v>40</v>
      </c>
      <c r="C20" s="3">
        <f>SUM(C4:C8)+C16+C22</f>
        <v>75</v>
      </c>
      <c r="E20" s="3">
        <f t="shared" ref="E20:G20" si="0">SUM(E4:E8)+E16+E22</f>
        <v>75</v>
      </c>
      <c r="G20" s="3">
        <f t="shared" si="0"/>
        <v>75</v>
      </c>
      <c r="H20" s="4"/>
      <c r="I20" s="35">
        <f>SUM(I4:I8)+I16+I22</f>
        <v>75</v>
      </c>
      <c r="J20" s="35"/>
      <c r="K20" s="35">
        <f>SUM(K4:K8)+K16+K22</f>
        <v>75</v>
      </c>
      <c r="L20" s="4"/>
      <c r="M20" s="35">
        <f>+SUM(M4:M8)+M16+M22</f>
        <v>75</v>
      </c>
      <c r="N20" s="35"/>
      <c r="O20" s="35">
        <f>+SUM(O4:O8)+O16+O22</f>
        <v>75</v>
      </c>
      <c r="P20" s="35"/>
      <c r="Q20" s="35">
        <f>+SUM(Q4:Q8)+Q16+Q22</f>
        <v>75</v>
      </c>
      <c r="R20" s="35"/>
      <c r="S20" s="35">
        <f>+SUM(S4:S8)+S16+S22</f>
        <v>75</v>
      </c>
      <c r="T20" s="35"/>
      <c r="U20" s="35">
        <f>+SUM(U4:U8)+U16+U22</f>
        <v>75</v>
      </c>
      <c r="V20" s="35"/>
      <c r="W20" s="35">
        <f>+SUM(W4:W8)+W16+W22</f>
        <v>75</v>
      </c>
      <c r="X20" s="35"/>
      <c r="Y20" s="35">
        <f>+SUM(Y4:Y8)+Y16+Y22</f>
        <v>75</v>
      </c>
      <c r="Z20" s="35"/>
      <c r="AA20" s="35">
        <f>+SUM(AA4:AA8)+AA16+AA22</f>
        <v>75</v>
      </c>
      <c r="AB20" s="35"/>
      <c r="AC20" s="35">
        <f t="shared" ref="AC20:AI20" si="1">SUM(AC4:AC19)</f>
        <v>114</v>
      </c>
      <c r="AD20" s="35"/>
      <c r="AE20" s="35">
        <f t="shared" si="1"/>
        <v>114</v>
      </c>
      <c r="AF20" s="35"/>
      <c r="AG20" s="35">
        <f t="shared" si="1"/>
        <v>114</v>
      </c>
      <c r="AH20" s="35"/>
      <c r="AI20" s="35">
        <f t="shared" si="1"/>
        <v>114</v>
      </c>
      <c r="AJ20" s="4"/>
      <c r="AK20" s="35">
        <f>SUM(AK4:AK19)</f>
        <v>114</v>
      </c>
      <c r="AL20" s="4"/>
      <c r="AM20" s="35">
        <f>SUM(AM4:AM19)</f>
        <v>114</v>
      </c>
      <c r="AN20" s="4"/>
      <c r="AO20" s="35">
        <f>SUM(AO4:AO19)</f>
        <v>114</v>
      </c>
      <c r="AP20" s="4"/>
      <c r="AQ20" s="35">
        <f>SUM(AQ4:AQ19)</f>
        <v>114</v>
      </c>
      <c r="AR20" s="4"/>
      <c r="AS20" s="35">
        <f>SUM(AS4:AS19)</f>
        <v>114</v>
      </c>
      <c r="AT20" s="4"/>
      <c r="AU20" s="35">
        <f>SUM(AU4:AU19)</f>
        <v>114</v>
      </c>
      <c r="AV20" s="1"/>
      <c r="AW20" s="3">
        <f>SUM(AW3:AW19)</f>
        <v>114</v>
      </c>
      <c r="AX20" s="3"/>
      <c r="AY20" s="3">
        <f>SUM(AY3:AY19)</f>
        <v>114</v>
      </c>
      <c r="AZ20" s="3"/>
      <c r="BA20" s="3">
        <f>SUM(BA3:BA19)</f>
        <v>114</v>
      </c>
      <c r="BB20" s="3"/>
      <c r="BC20" s="3">
        <f t="shared" ref="BC20:BE20" si="2">SUM(BC3:BC19)</f>
        <v>114</v>
      </c>
      <c r="BD20" s="3"/>
      <c r="BE20" s="3">
        <f t="shared" si="2"/>
        <v>114</v>
      </c>
      <c r="BF20" s="3"/>
      <c r="BG20" s="3">
        <f>SUM(BG3:BG19)</f>
        <v>114</v>
      </c>
      <c r="BH20" s="3"/>
      <c r="BI20" s="3">
        <f>SUM(BI3:BI19)</f>
        <v>114</v>
      </c>
      <c r="BJ20" s="3"/>
      <c r="BK20" s="3">
        <f>SUM(BK3:BK19)</f>
        <v>114</v>
      </c>
      <c r="BL20" s="3"/>
      <c r="BM20" s="3">
        <f>SUM(BM3:BM19)</f>
        <v>114</v>
      </c>
      <c r="BN20" s="3"/>
      <c r="BO20" s="3">
        <f>SUM(BO3:BO19)</f>
        <v>113</v>
      </c>
      <c r="BP20" s="3"/>
      <c r="BQ20" s="3">
        <f>SUM(BQ3:BQ19)</f>
        <v>115</v>
      </c>
      <c r="BR20" s="3"/>
      <c r="BS20" s="3">
        <f>SUM(BS3:BS19)</f>
        <v>114</v>
      </c>
      <c r="BT20" s="3"/>
      <c r="BU20" s="3">
        <f>SUM(BU3:BU19)</f>
        <v>114</v>
      </c>
      <c r="BV20" s="3"/>
      <c r="BW20" s="3">
        <f>SUM(BW3:BW19)</f>
        <v>114</v>
      </c>
      <c r="BX20" s="3"/>
      <c r="BY20" s="3">
        <f>SUM(BY3:BY19)</f>
        <v>113</v>
      </c>
      <c r="BZ20" s="3"/>
      <c r="CA20" s="3">
        <f>SUM(CA3:CA19)</f>
        <v>114</v>
      </c>
      <c r="CB20" s="3"/>
      <c r="CC20" s="3">
        <f>SUM(CC3:CC19)</f>
        <v>114</v>
      </c>
    </row>
    <row r="21" spans="1:81" ht="13.5" customHeight="1" x14ac:dyDescent="0.25">
      <c r="A21" s="36" t="s">
        <v>41</v>
      </c>
      <c r="B21" s="179"/>
      <c r="C21" s="180"/>
      <c r="D21" s="179"/>
      <c r="E21" s="180"/>
      <c r="F21" s="179"/>
      <c r="G21" s="180"/>
      <c r="H21" s="78"/>
      <c r="I21" s="120"/>
      <c r="J21" s="78"/>
      <c r="K21" s="120"/>
      <c r="L21" s="78"/>
      <c r="M21" s="120"/>
      <c r="N21" s="78"/>
      <c r="O21" s="120"/>
      <c r="P21" s="78"/>
      <c r="Q21" s="120"/>
      <c r="R21" s="78"/>
      <c r="S21" s="120"/>
      <c r="T21" s="78"/>
      <c r="U21" s="120"/>
      <c r="V21" s="37"/>
      <c r="W21" s="38"/>
      <c r="X21" s="37"/>
      <c r="Y21" s="38"/>
      <c r="Z21" s="37"/>
      <c r="AA21" s="38"/>
      <c r="AB21" s="37"/>
      <c r="AC21" s="38"/>
      <c r="AD21" s="37"/>
      <c r="AE21" s="38"/>
      <c r="AF21" s="37"/>
      <c r="AG21" s="38"/>
      <c r="AH21" s="37"/>
      <c r="AI21" s="38"/>
      <c r="AJ21" s="78"/>
      <c r="AK21" s="75"/>
      <c r="AL21" s="73"/>
      <c r="AM21" s="3"/>
      <c r="AN21" s="3"/>
      <c r="AO21" s="3"/>
      <c r="AP21" s="3"/>
      <c r="AQ21" s="3"/>
      <c r="AR21" s="3"/>
      <c r="AS21" s="3"/>
      <c r="AT21" s="1"/>
      <c r="AU21" s="1"/>
      <c r="AV21" s="1"/>
      <c r="AW21" s="1"/>
      <c r="AX21" s="1"/>
      <c r="AY21" s="1"/>
      <c r="AZ21" s="1"/>
      <c r="BA21" s="1"/>
      <c r="BH21" s="91"/>
    </row>
    <row r="22" spans="1:81" ht="13.5" customHeight="1" x14ac:dyDescent="0.25">
      <c r="A22" s="10" t="s">
        <v>42</v>
      </c>
      <c r="B22" s="185">
        <v>4</v>
      </c>
      <c r="C22" s="100">
        <v>9</v>
      </c>
      <c r="D22" s="185">
        <v>1</v>
      </c>
      <c r="E22" s="100">
        <v>11</v>
      </c>
      <c r="F22" s="185" t="s">
        <v>166</v>
      </c>
      <c r="G22" s="100">
        <v>18</v>
      </c>
      <c r="H22" s="186">
        <v>4</v>
      </c>
      <c r="I22" s="100">
        <v>13</v>
      </c>
      <c r="J22" s="186" t="s">
        <v>100</v>
      </c>
      <c r="K22" s="100">
        <v>16</v>
      </c>
      <c r="L22" s="145">
        <v>4</v>
      </c>
      <c r="M22" s="100">
        <v>12</v>
      </c>
      <c r="N22" s="162">
        <v>4</v>
      </c>
      <c r="O22" s="100">
        <v>14</v>
      </c>
      <c r="P22" s="162">
        <v>7</v>
      </c>
      <c r="Q22" s="100">
        <v>17</v>
      </c>
      <c r="R22" s="123" t="s">
        <v>113</v>
      </c>
      <c r="S22" s="100">
        <v>11</v>
      </c>
      <c r="T22" s="123">
        <v>4</v>
      </c>
      <c r="U22" s="100">
        <v>14</v>
      </c>
      <c r="V22" s="123">
        <v>4</v>
      </c>
      <c r="W22" s="100">
        <v>11</v>
      </c>
      <c r="X22" s="123">
        <v>6</v>
      </c>
      <c r="Y22" s="100">
        <v>13</v>
      </c>
      <c r="Z22" s="123">
        <v>4</v>
      </c>
      <c r="AA22" s="100">
        <v>11</v>
      </c>
      <c r="AB22" s="39" t="s">
        <v>43</v>
      </c>
      <c r="AC22" s="35"/>
      <c r="AD22" s="4"/>
      <c r="AE22" s="35"/>
      <c r="AF22" s="4"/>
      <c r="AG22" s="35"/>
      <c r="AH22" s="4"/>
      <c r="AI22" s="35"/>
      <c r="AJ22" s="4"/>
      <c r="AK22" s="35"/>
      <c r="AL22" s="4"/>
      <c r="AM22" s="35"/>
      <c r="AN22" s="4"/>
      <c r="AO22" s="35"/>
      <c r="AP22" s="1"/>
      <c r="AQ22" s="3"/>
      <c r="AR22" s="84"/>
      <c r="AS22" s="3"/>
      <c r="AT22" s="3"/>
      <c r="AU22" s="3"/>
      <c r="AV22" s="3"/>
      <c r="AW22" s="3"/>
      <c r="AX22" s="3"/>
      <c r="AY22" s="3"/>
      <c r="AZ22" s="1"/>
      <c r="BA22" s="1"/>
      <c r="BB22" s="1"/>
      <c r="BC22" s="1"/>
      <c r="BD22" s="1"/>
      <c r="BE22" s="1"/>
      <c r="BF22" s="1"/>
      <c r="BG22" s="1"/>
      <c r="BN22" s="91"/>
    </row>
    <row r="23" spans="1:81" ht="13.5" customHeight="1" x14ac:dyDescent="0.25">
      <c r="A23" s="40" t="s">
        <v>44</v>
      </c>
      <c r="B23" s="165" t="s">
        <v>119</v>
      </c>
      <c r="C23" s="100">
        <v>7</v>
      </c>
      <c r="D23" s="165" t="s">
        <v>91</v>
      </c>
      <c r="E23" s="100">
        <v>3</v>
      </c>
      <c r="F23" s="165" t="s">
        <v>132</v>
      </c>
      <c r="G23" s="100">
        <v>2</v>
      </c>
      <c r="H23" s="1" t="s">
        <v>119</v>
      </c>
      <c r="I23" s="100">
        <v>2</v>
      </c>
      <c r="J23" s="1"/>
      <c r="K23" s="100"/>
      <c r="L23" s="123">
        <v>8</v>
      </c>
      <c r="M23" s="100">
        <v>14</v>
      </c>
      <c r="N23" s="123" t="s">
        <v>129</v>
      </c>
      <c r="O23" s="100">
        <v>3</v>
      </c>
      <c r="P23" s="123">
        <v>2</v>
      </c>
      <c r="Q23" s="100">
        <v>8</v>
      </c>
      <c r="R23" s="123">
        <v>4</v>
      </c>
      <c r="S23" s="100">
        <v>9</v>
      </c>
      <c r="T23" s="123" t="s">
        <v>123</v>
      </c>
      <c r="U23" s="100">
        <v>3</v>
      </c>
      <c r="V23" s="123" t="s">
        <v>119</v>
      </c>
      <c r="W23" s="100">
        <v>3</v>
      </c>
      <c r="X23" s="123" t="s">
        <v>117</v>
      </c>
      <c r="Y23" s="100">
        <v>6</v>
      </c>
      <c r="Z23" s="123" t="s">
        <v>121</v>
      </c>
      <c r="AA23" s="100">
        <v>7</v>
      </c>
      <c r="AB23" s="39" t="s">
        <v>116</v>
      </c>
      <c r="AC23" s="35"/>
      <c r="AD23" s="4"/>
      <c r="AE23" s="35"/>
      <c r="AF23" s="4"/>
      <c r="AG23" s="35"/>
      <c r="AH23" s="4"/>
      <c r="AI23" s="35"/>
      <c r="AJ23" s="4"/>
      <c r="AK23" s="35"/>
      <c r="AL23" s="4"/>
      <c r="AM23" s="35"/>
      <c r="AN23" s="4"/>
      <c r="AO23" s="35"/>
      <c r="AP23" s="1"/>
      <c r="AQ23" s="3"/>
      <c r="AR23" s="84"/>
      <c r="AS23" s="3"/>
      <c r="AT23" s="3"/>
      <c r="AU23" s="3"/>
      <c r="AV23" s="3"/>
      <c r="AW23" s="3"/>
      <c r="AX23" s="3"/>
      <c r="AY23" s="3"/>
      <c r="AZ23" s="1"/>
      <c r="BA23" s="1"/>
      <c r="BB23" s="1"/>
      <c r="BC23" s="1"/>
      <c r="BD23" s="1"/>
      <c r="BE23" s="1"/>
      <c r="BF23" s="1"/>
      <c r="BG23" s="1"/>
      <c r="BN23" s="91"/>
    </row>
    <row r="24" spans="1:81" ht="13.5" customHeight="1" x14ac:dyDescent="0.25">
      <c r="A24" s="40" t="s">
        <v>45</v>
      </c>
      <c r="B24" s="165"/>
      <c r="C24" s="100"/>
      <c r="D24" s="165" t="s">
        <v>132</v>
      </c>
      <c r="E24" s="100">
        <v>3</v>
      </c>
      <c r="F24" s="165">
        <v>1</v>
      </c>
      <c r="G24" s="100">
        <v>6</v>
      </c>
      <c r="H24" s="1" t="s">
        <v>144</v>
      </c>
      <c r="I24" s="100">
        <v>5</v>
      </c>
      <c r="J24" s="1" t="s">
        <v>144</v>
      </c>
      <c r="K24" s="100">
        <v>5</v>
      </c>
      <c r="L24" s="123">
        <v>1</v>
      </c>
      <c r="M24" s="100">
        <v>5</v>
      </c>
      <c r="N24" s="123" t="s">
        <v>132</v>
      </c>
      <c r="O24" s="100">
        <v>3</v>
      </c>
      <c r="P24" s="123" t="s">
        <v>135</v>
      </c>
      <c r="Q24" s="100">
        <v>2</v>
      </c>
      <c r="S24" s="100"/>
      <c r="T24" s="123">
        <v>1</v>
      </c>
      <c r="U24" s="100">
        <v>5</v>
      </c>
      <c r="V24" s="123" t="s">
        <v>135</v>
      </c>
      <c r="W24" s="100">
        <v>2</v>
      </c>
      <c r="X24" s="123" t="s">
        <v>132</v>
      </c>
      <c r="Y24" s="100">
        <v>3</v>
      </c>
      <c r="AA24" s="100"/>
      <c r="AB24" s="39" t="s">
        <v>46</v>
      </c>
      <c r="AC24" s="35"/>
      <c r="AD24" s="4"/>
      <c r="AE24" s="35"/>
      <c r="AF24" s="4"/>
      <c r="AG24" s="35"/>
      <c r="AH24" s="4"/>
      <c r="AI24" s="35"/>
      <c r="AJ24" s="4"/>
      <c r="AK24" s="35"/>
      <c r="AL24" s="4"/>
      <c r="AM24" s="35"/>
      <c r="AN24" s="4"/>
      <c r="AO24" s="35"/>
      <c r="AP24" s="1"/>
      <c r="AQ24" s="3"/>
      <c r="AR24" s="84"/>
      <c r="AS24" s="3"/>
      <c r="AT24" s="3"/>
      <c r="AU24" s="3"/>
      <c r="AV24" s="3"/>
      <c r="AW24" s="3"/>
      <c r="AX24" s="3"/>
      <c r="AY24" s="3"/>
      <c r="AZ24" s="1"/>
      <c r="BA24" s="1"/>
      <c r="BB24" s="1"/>
      <c r="BC24" s="1"/>
      <c r="BD24" s="1"/>
      <c r="BE24" s="1"/>
      <c r="BF24" s="1"/>
      <c r="BG24" s="1"/>
      <c r="BN24" s="91"/>
    </row>
    <row r="25" spans="1:81" ht="13.5" customHeight="1" x14ac:dyDescent="0.25">
      <c r="A25" s="40" t="s">
        <v>47</v>
      </c>
      <c r="B25" s="165"/>
      <c r="C25" s="100"/>
      <c r="D25" s="165">
        <v>1</v>
      </c>
      <c r="E25" s="100">
        <v>5</v>
      </c>
      <c r="F25" s="165"/>
      <c r="G25" s="100"/>
      <c r="H25" s="1">
        <v>2</v>
      </c>
      <c r="I25" s="100">
        <v>4</v>
      </c>
      <c r="J25" s="1" t="s">
        <v>125</v>
      </c>
      <c r="K25" s="100">
        <v>5</v>
      </c>
      <c r="L25" s="1"/>
      <c r="M25" s="100"/>
      <c r="N25" s="123" t="s">
        <v>128</v>
      </c>
      <c r="O25" s="100">
        <v>14</v>
      </c>
      <c r="P25" s="123">
        <v>5</v>
      </c>
      <c r="Q25" s="100">
        <v>10</v>
      </c>
      <c r="R25" s="123" t="s">
        <v>91</v>
      </c>
      <c r="S25" s="100">
        <v>4</v>
      </c>
      <c r="T25" s="123" t="s">
        <v>124</v>
      </c>
      <c r="U25" s="100">
        <v>7</v>
      </c>
      <c r="V25" s="123">
        <v>2</v>
      </c>
      <c r="W25" s="100">
        <v>7</v>
      </c>
      <c r="X25" s="123">
        <v>2</v>
      </c>
      <c r="Y25" s="100">
        <v>7</v>
      </c>
      <c r="Z25" s="123" t="s">
        <v>122</v>
      </c>
      <c r="AA25" s="100">
        <v>5</v>
      </c>
      <c r="AB25" s="39" t="s">
        <v>48</v>
      </c>
      <c r="AC25" s="35"/>
      <c r="AD25" s="4"/>
      <c r="AE25" s="35"/>
      <c r="AF25" s="4"/>
      <c r="AG25" s="35"/>
      <c r="AH25" s="4"/>
      <c r="AI25" s="35"/>
      <c r="AJ25" s="4"/>
      <c r="AK25" s="35"/>
      <c r="AL25" s="4"/>
      <c r="AM25" s="35"/>
      <c r="AN25" s="4"/>
      <c r="AO25" s="35"/>
      <c r="AP25" s="1"/>
      <c r="AQ25" s="3"/>
      <c r="AR25" s="84"/>
      <c r="AS25" s="3"/>
      <c r="AT25" s="3"/>
      <c r="AU25" s="3"/>
      <c r="AV25" s="3"/>
      <c r="AW25" s="3"/>
      <c r="AX25" s="3"/>
      <c r="AY25" s="3"/>
      <c r="AZ25" s="1"/>
      <c r="BA25" s="1"/>
      <c r="BB25" s="1"/>
      <c r="BC25" s="1"/>
      <c r="BD25" s="1"/>
      <c r="BE25" s="1"/>
      <c r="BF25" s="1"/>
      <c r="BG25" s="1"/>
      <c r="BN25" s="91"/>
    </row>
    <row r="26" spans="1:81" ht="13.5" customHeight="1" x14ac:dyDescent="0.25">
      <c r="A26" s="40" t="s">
        <v>49</v>
      </c>
      <c r="B26" s="165">
        <v>4</v>
      </c>
      <c r="C26" s="100">
        <v>9</v>
      </c>
      <c r="D26" s="165">
        <v>6</v>
      </c>
      <c r="E26" s="100">
        <v>10</v>
      </c>
      <c r="F26" s="165" t="s">
        <v>167</v>
      </c>
      <c r="G26" s="100">
        <v>9</v>
      </c>
      <c r="H26" s="145" t="s">
        <v>158</v>
      </c>
      <c r="I26" s="100">
        <v>11</v>
      </c>
      <c r="J26" s="1" t="s">
        <v>128</v>
      </c>
      <c r="K26" s="100">
        <v>15</v>
      </c>
      <c r="L26" s="145">
        <v>7</v>
      </c>
      <c r="M26" s="100">
        <v>11</v>
      </c>
      <c r="N26" s="123">
        <v>6</v>
      </c>
      <c r="O26" s="100">
        <v>11</v>
      </c>
      <c r="P26" s="123">
        <v>4</v>
      </c>
      <c r="Q26" s="100">
        <v>10</v>
      </c>
      <c r="R26" s="145">
        <v>6</v>
      </c>
      <c r="S26" s="100">
        <v>10</v>
      </c>
      <c r="T26" s="123">
        <v>3</v>
      </c>
      <c r="U26" s="100">
        <v>10</v>
      </c>
      <c r="V26" s="123">
        <v>3</v>
      </c>
      <c r="W26" s="100">
        <v>10</v>
      </c>
      <c r="X26" s="123">
        <v>4</v>
      </c>
      <c r="Y26" s="100">
        <v>8</v>
      </c>
      <c r="Z26" s="123">
        <v>4</v>
      </c>
      <c r="AA26" s="100">
        <v>8</v>
      </c>
      <c r="AB26" s="39" t="s">
        <v>50</v>
      </c>
      <c r="AC26" s="35"/>
      <c r="AD26" s="4"/>
      <c r="AE26" s="35"/>
      <c r="AF26" s="4"/>
      <c r="AG26" s="35"/>
      <c r="AH26" s="4"/>
      <c r="AI26" s="35"/>
      <c r="AJ26" s="4"/>
      <c r="AK26" s="35"/>
      <c r="AL26" s="4"/>
      <c r="AM26" s="35"/>
      <c r="AN26" s="4"/>
      <c r="AO26" s="35"/>
      <c r="AP26" s="1"/>
      <c r="AQ26" s="3"/>
      <c r="AR26" s="84"/>
      <c r="AS26" s="3"/>
      <c r="AT26" s="3"/>
      <c r="AU26" s="3"/>
      <c r="AV26" s="3"/>
      <c r="AW26" s="3"/>
      <c r="AX26" s="3"/>
      <c r="AY26" s="3"/>
      <c r="AZ26" s="1"/>
      <c r="BA26" s="1"/>
      <c r="BB26" s="1"/>
      <c r="BC26" s="1"/>
      <c r="BD26" s="1"/>
      <c r="BE26" s="1"/>
      <c r="BF26" s="1"/>
      <c r="BG26" s="1"/>
      <c r="BN26" s="91"/>
    </row>
    <row r="27" spans="1:81" ht="13.5" customHeight="1" thickBot="1" x14ac:dyDescent="0.3">
      <c r="A27" s="41" t="s">
        <v>51</v>
      </c>
      <c r="B27" s="166">
        <v>7</v>
      </c>
      <c r="C27" s="101">
        <v>10</v>
      </c>
      <c r="D27" s="166">
        <v>7</v>
      </c>
      <c r="E27" s="101">
        <v>9</v>
      </c>
      <c r="F27" s="166">
        <v>6</v>
      </c>
      <c r="G27" s="101">
        <v>9</v>
      </c>
      <c r="H27" s="85">
        <v>7</v>
      </c>
      <c r="I27" s="121">
        <v>12</v>
      </c>
      <c r="J27" s="85">
        <v>7</v>
      </c>
      <c r="K27" s="121">
        <v>12</v>
      </c>
      <c r="L27" s="151">
        <v>2</v>
      </c>
      <c r="M27" s="121">
        <v>7</v>
      </c>
      <c r="N27" s="147" t="s">
        <v>112</v>
      </c>
      <c r="O27" s="121">
        <v>8</v>
      </c>
      <c r="P27" s="147">
        <v>6</v>
      </c>
      <c r="Q27" s="121">
        <v>10</v>
      </c>
      <c r="R27" s="147">
        <v>5</v>
      </c>
      <c r="S27" s="121">
        <v>9</v>
      </c>
      <c r="T27" s="147">
        <v>4</v>
      </c>
      <c r="U27" s="121">
        <v>9</v>
      </c>
      <c r="V27" s="151" t="s">
        <v>120</v>
      </c>
      <c r="W27" s="121">
        <v>7</v>
      </c>
      <c r="X27" s="147">
        <v>1</v>
      </c>
      <c r="Y27" s="121">
        <v>6</v>
      </c>
      <c r="Z27" s="147">
        <v>7</v>
      </c>
      <c r="AA27" s="121">
        <v>11</v>
      </c>
      <c r="AB27" s="42" t="s">
        <v>52</v>
      </c>
      <c r="AC27" s="43"/>
      <c r="AD27" s="44"/>
      <c r="AE27" s="43"/>
      <c r="AF27" s="44"/>
      <c r="AG27" s="43"/>
      <c r="AH27" s="44"/>
      <c r="AI27" s="43"/>
      <c r="AJ27" s="44"/>
      <c r="AK27" s="43"/>
      <c r="AL27" s="44"/>
      <c r="AM27" s="43"/>
      <c r="AN27" s="44"/>
      <c r="AO27" s="43"/>
      <c r="AP27" s="85"/>
      <c r="AQ27" s="86"/>
      <c r="AR27" s="87"/>
      <c r="AS27" s="3"/>
      <c r="AT27" s="3"/>
      <c r="AU27" s="3"/>
      <c r="AV27" s="3"/>
      <c r="AW27" s="3"/>
      <c r="AX27" s="3"/>
      <c r="AY27" s="3"/>
      <c r="AZ27" s="1"/>
      <c r="BA27" s="1"/>
      <c r="BB27" s="1"/>
      <c r="BC27" s="1"/>
      <c r="BD27" s="1"/>
      <c r="BE27" s="1"/>
      <c r="BF27" s="1"/>
      <c r="BG27" s="1"/>
      <c r="BN27" s="91"/>
    </row>
    <row r="28" spans="1:81" ht="13.5" customHeight="1" thickBot="1" x14ac:dyDescent="0.3">
      <c r="B28" s="2"/>
      <c r="C28" s="2">
        <f>SUM(C9:C15)+C18+SUM(C23:C27)</f>
        <v>75</v>
      </c>
      <c r="D28" s="2"/>
      <c r="E28" s="2">
        <f t="shared" ref="E28:G28" si="3">SUM(E9:E15)+E18+SUM(E23:E27)</f>
        <v>75</v>
      </c>
      <c r="F28" s="2"/>
      <c r="G28" s="2">
        <f t="shared" si="3"/>
        <v>75</v>
      </c>
      <c r="H28" s="39"/>
      <c r="I28" s="39">
        <f>SUM(I10:I15)+I18+I23+I24+I25+I26+I27</f>
        <v>75</v>
      </c>
      <c r="J28" s="39"/>
      <c r="K28" s="39">
        <f>SUM(K10:K15)+K18+K23+K24+K25+K26+K27</f>
        <v>75</v>
      </c>
      <c r="L28" s="39"/>
      <c r="M28" s="39">
        <f>SUM(M10:M15)+M18+M23+M24+M25+M26+M27</f>
        <v>75</v>
      </c>
      <c r="N28" s="39"/>
      <c r="O28" s="39">
        <f>SUM(O10:O15)+O18+O23+O24+O25+O26+O27</f>
        <v>75</v>
      </c>
      <c r="P28" s="39"/>
      <c r="Q28" s="39">
        <f>SUM(Q10:Q15)+Q18+Q23+Q24+Q25+Q26+Q27</f>
        <v>75</v>
      </c>
      <c r="R28" s="39"/>
      <c r="S28" s="39">
        <f>SUM(S10:S15)+S18+S23+S24+S25+S26+S27</f>
        <v>75</v>
      </c>
      <c r="T28" s="39"/>
      <c r="U28" s="39">
        <f>SUM(U10:U15)+U18+U23+U24+U25+U26+U27</f>
        <v>75</v>
      </c>
      <c r="V28" s="39"/>
      <c r="W28" s="39">
        <f>SUM(W10:W15)+W18+W23+W24+W25+W26+W27</f>
        <v>75</v>
      </c>
      <c r="X28" s="39"/>
      <c r="Y28" s="39">
        <f>SUM(Y10:Y15)+Y18+Y23+Y24+Y25+Y26+Y27</f>
        <v>75</v>
      </c>
      <c r="Z28" s="39"/>
      <c r="AA28" s="39">
        <f>SUM(AA10:AA15)+AA18+AA23+AA24+AA25+AA26+AA27</f>
        <v>75</v>
      </c>
      <c r="AB28" s="3"/>
      <c r="AC28" s="3"/>
      <c r="AD28" s="3"/>
      <c r="AE28" s="3"/>
      <c r="AF28" s="3"/>
      <c r="AG28" s="3"/>
      <c r="AH28" s="3"/>
      <c r="AI28" s="3"/>
      <c r="AJ28" s="1"/>
      <c r="AK28" s="1"/>
      <c r="AL28" s="1"/>
      <c r="AM28" s="1"/>
      <c r="AN28" s="1"/>
      <c r="AO28" s="1"/>
      <c r="AP28" s="1"/>
      <c r="AQ28" s="1"/>
      <c r="AX28" s="91"/>
    </row>
    <row r="29" spans="1:81" ht="12.75" customHeight="1" thickBot="1" x14ac:dyDescent="0.3">
      <c r="A29" s="115" t="s">
        <v>0</v>
      </c>
      <c r="B29" s="142" t="s">
        <v>169</v>
      </c>
      <c r="C29" s="6"/>
      <c r="D29" s="142" t="s">
        <v>170</v>
      </c>
      <c r="E29" s="92"/>
      <c r="F29" s="142" t="s">
        <v>171</v>
      </c>
      <c r="G29" s="6"/>
      <c r="H29" s="142" t="s">
        <v>154</v>
      </c>
      <c r="I29" s="6"/>
      <c r="J29" s="142" t="s">
        <v>155</v>
      </c>
      <c r="K29" s="92"/>
      <c r="L29" s="142" t="s">
        <v>92</v>
      </c>
      <c r="M29" s="6"/>
      <c r="N29" s="142" t="s">
        <v>93</v>
      </c>
      <c r="O29" s="92"/>
      <c r="P29" s="142" t="s">
        <v>94</v>
      </c>
      <c r="Q29" s="92"/>
      <c r="R29" s="142" t="s">
        <v>95</v>
      </c>
      <c r="S29" s="92"/>
      <c r="T29" s="142" t="s">
        <v>96</v>
      </c>
      <c r="U29" s="92"/>
      <c r="V29" s="142" t="s">
        <v>97</v>
      </c>
      <c r="W29" s="92"/>
      <c r="X29" s="142" t="s">
        <v>98</v>
      </c>
      <c r="Y29" s="92"/>
      <c r="Z29" s="142" t="s">
        <v>99</v>
      </c>
      <c r="AA29" s="98"/>
      <c r="AD29" s="76" t="s">
        <v>13</v>
      </c>
      <c r="AE29" s="73">
        <v>6</v>
      </c>
      <c r="AG29" s="115"/>
      <c r="AH29" s="2" t="s">
        <v>107</v>
      </c>
    </row>
    <row r="30" spans="1:81" ht="12.75" customHeight="1" thickBot="1" x14ac:dyDescent="0.3">
      <c r="A30" s="195" t="s">
        <v>172</v>
      </c>
      <c r="B30" s="10"/>
      <c r="C30" s="192"/>
      <c r="D30" s="10"/>
      <c r="E30" s="2"/>
      <c r="F30" s="10"/>
      <c r="G30" s="192"/>
      <c r="H30" s="10"/>
      <c r="I30" s="192"/>
      <c r="J30" s="10"/>
      <c r="K30" s="2"/>
      <c r="L30" s="10"/>
      <c r="M30" s="192"/>
      <c r="N30" s="10"/>
      <c r="O30" s="2"/>
      <c r="P30" s="10"/>
      <c r="Q30" s="2"/>
      <c r="R30" s="10"/>
      <c r="S30" s="2"/>
      <c r="T30" s="10"/>
      <c r="U30" s="2"/>
      <c r="V30" s="10"/>
      <c r="W30" s="2"/>
      <c r="X30" s="10"/>
      <c r="Y30" s="2"/>
      <c r="Z30" s="10"/>
      <c r="AA30" s="191"/>
      <c r="AD30" s="76"/>
      <c r="AE30" s="73"/>
      <c r="AG30" s="115"/>
    </row>
    <row r="31" spans="1:81" x14ac:dyDescent="0.25">
      <c r="A31" s="7" t="s">
        <v>14</v>
      </c>
      <c r="B31" s="8"/>
      <c r="C31" s="9"/>
      <c r="D31" s="8"/>
      <c r="E31" s="55"/>
      <c r="F31" s="8"/>
      <c r="G31" s="9"/>
      <c r="H31" s="8"/>
      <c r="I31" s="9"/>
      <c r="J31" s="8"/>
      <c r="K31" s="55"/>
      <c r="L31" s="8"/>
      <c r="M31" s="9"/>
      <c r="N31" s="8"/>
      <c r="O31" s="55"/>
      <c r="P31" s="8"/>
      <c r="Q31" s="55"/>
      <c r="R31" s="8"/>
      <c r="S31" s="55"/>
      <c r="T31" s="8"/>
      <c r="U31" s="55"/>
      <c r="V31" s="8"/>
      <c r="W31" s="55"/>
      <c r="X31" s="8"/>
      <c r="Y31" s="55"/>
      <c r="Z31" s="8"/>
      <c r="AA31" s="99"/>
      <c r="AD31" s="79"/>
      <c r="AE31" s="77"/>
      <c r="AG31" s="116"/>
      <c r="AH31" s="2" t="s">
        <v>108</v>
      </c>
    </row>
    <row r="32" spans="1:81" x14ac:dyDescent="0.25">
      <c r="A32" s="10" t="s">
        <v>15</v>
      </c>
      <c r="B32" s="11">
        <v>2</v>
      </c>
      <c r="C32" s="12">
        <v>8</v>
      </c>
      <c r="D32" s="56">
        <v>4</v>
      </c>
      <c r="E32" s="1">
        <v>8</v>
      </c>
      <c r="F32" s="11">
        <v>2</v>
      </c>
      <c r="G32" s="12">
        <v>9</v>
      </c>
      <c r="H32" s="146">
        <v>3</v>
      </c>
      <c r="I32" s="12">
        <v>10</v>
      </c>
      <c r="J32" s="109">
        <v>3</v>
      </c>
      <c r="K32" s="1">
        <v>10</v>
      </c>
      <c r="L32" s="110">
        <v>4</v>
      </c>
      <c r="M32" s="12">
        <v>10</v>
      </c>
      <c r="N32" s="109">
        <v>3</v>
      </c>
      <c r="O32" s="1">
        <v>8</v>
      </c>
      <c r="P32" s="109">
        <v>2</v>
      </c>
      <c r="Q32" s="1">
        <v>9</v>
      </c>
      <c r="R32" s="109">
        <v>1</v>
      </c>
      <c r="S32" s="1">
        <v>8</v>
      </c>
      <c r="T32" s="109">
        <v>4</v>
      </c>
      <c r="U32" s="1">
        <v>10</v>
      </c>
      <c r="V32" s="109">
        <v>1</v>
      </c>
      <c r="W32" s="1">
        <v>6</v>
      </c>
      <c r="X32" s="111">
        <v>1</v>
      </c>
      <c r="Y32" s="1">
        <v>8</v>
      </c>
      <c r="Z32" s="109" t="s">
        <v>114</v>
      </c>
      <c r="AA32" s="100">
        <v>6</v>
      </c>
      <c r="AD32" s="48">
        <v>6</v>
      </c>
      <c r="AE32" s="12">
        <v>9</v>
      </c>
      <c r="AG32" s="117"/>
      <c r="AH32" s="2" t="s">
        <v>109</v>
      </c>
    </row>
    <row r="33" spans="1:55" x14ac:dyDescent="0.25">
      <c r="A33" s="13" t="s">
        <v>16</v>
      </c>
      <c r="B33" s="14">
        <v>7</v>
      </c>
      <c r="C33" s="15">
        <v>14</v>
      </c>
      <c r="D33" s="58">
        <v>7</v>
      </c>
      <c r="E33" s="80">
        <v>14</v>
      </c>
      <c r="F33" s="189">
        <v>7</v>
      </c>
      <c r="G33" s="15">
        <v>16</v>
      </c>
      <c r="H33" s="124">
        <v>6</v>
      </c>
      <c r="I33" s="15">
        <v>15</v>
      </c>
      <c r="J33" s="122">
        <v>6</v>
      </c>
      <c r="K33" s="80">
        <v>13</v>
      </c>
      <c r="L33" s="124">
        <v>7</v>
      </c>
      <c r="M33" s="15">
        <v>16</v>
      </c>
      <c r="N33" s="126">
        <v>7</v>
      </c>
      <c r="O33" s="80">
        <v>15</v>
      </c>
      <c r="P33" s="122">
        <v>7</v>
      </c>
      <c r="Q33" s="80">
        <v>15</v>
      </c>
      <c r="R33" s="109">
        <v>1</v>
      </c>
      <c r="S33" s="80">
        <v>16</v>
      </c>
      <c r="T33" s="122">
        <v>6</v>
      </c>
      <c r="U33" s="80">
        <v>14</v>
      </c>
      <c r="V33" s="122">
        <v>7</v>
      </c>
      <c r="W33" s="80">
        <v>15</v>
      </c>
      <c r="X33" s="126">
        <v>6</v>
      </c>
      <c r="Y33" s="80">
        <v>13</v>
      </c>
      <c r="Z33" s="122">
        <v>6</v>
      </c>
      <c r="AA33" s="101">
        <v>12</v>
      </c>
      <c r="AD33" s="49">
        <v>12</v>
      </c>
      <c r="AE33" s="15" t="s">
        <v>19</v>
      </c>
      <c r="AG33" s="118"/>
      <c r="AH33" s="2" t="s">
        <v>110</v>
      </c>
    </row>
    <row r="34" spans="1:55" x14ac:dyDescent="0.25">
      <c r="A34" s="10" t="s">
        <v>20</v>
      </c>
      <c r="B34" s="11">
        <v>5</v>
      </c>
      <c r="C34" s="12">
        <v>12</v>
      </c>
      <c r="D34" s="56">
        <v>6</v>
      </c>
      <c r="E34" s="1">
        <v>15</v>
      </c>
      <c r="F34" s="11">
        <v>6</v>
      </c>
      <c r="G34" s="12">
        <v>12</v>
      </c>
      <c r="H34" s="146">
        <v>7</v>
      </c>
      <c r="I34" s="12">
        <v>16</v>
      </c>
      <c r="J34" s="109">
        <v>5</v>
      </c>
      <c r="K34" s="1">
        <v>13</v>
      </c>
      <c r="L34" s="146">
        <v>6</v>
      </c>
      <c r="M34" s="12">
        <v>13</v>
      </c>
      <c r="N34" s="109">
        <v>6</v>
      </c>
      <c r="O34" s="1">
        <v>15</v>
      </c>
      <c r="P34" s="111">
        <v>5</v>
      </c>
      <c r="Q34" s="1">
        <v>12</v>
      </c>
      <c r="R34" s="109">
        <v>1</v>
      </c>
      <c r="S34" s="1">
        <v>14</v>
      </c>
      <c r="T34" s="111">
        <v>5</v>
      </c>
      <c r="U34" s="1">
        <v>12</v>
      </c>
      <c r="V34" s="109">
        <v>6</v>
      </c>
      <c r="W34" s="1">
        <v>13</v>
      </c>
      <c r="X34" s="109">
        <v>5</v>
      </c>
      <c r="Y34" s="1">
        <v>14</v>
      </c>
      <c r="Z34" s="163">
        <v>7</v>
      </c>
      <c r="AA34" s="100">
        <v>17</v>
      </c>
      <c r="AD34" s="48">
        <v>7</v>
      </c>
      <c r="AE34" s="12">
        <v>8</v>
      </c>
    </row>
    <row r="35" spans="1:55" x14ac:dyDescent="0.25">
      <c r="A35" s="10" t="s">
        <v>21</v>
      </c>
      <c r="B35" s="146">
        <v>1</v>
      </c>
      <c r="C35" s="12">
        <v>9</v>
      </c>
      <c r="D35" s="56">
        <v>1</v>
      </c>
      <c r="E35" s="1">
        <v>9</v>
      </c>
      <c r="F35" s="11">
        <v>3</v>
      </c>
      <c r="G35" s="12">
        <v>9</v>
      </c>
      <c r="H35" s="146">
        <v>5</v>
      </c>
      <c r="I35" s="12">
        <v>9</v>
      </c>
      <c r="J35" s="109">
        <v>4</v>
      </c>
      <c r="K35" s="1">
        <v>8</v>
      </c>
      <c r="L35" s="110">
        <v>1</v>
      </c>
      <c r="M35" s="12">
        <v>9</v>
      </c>
      <c r="N35" s="109">
        <v>1</v>
      </c>
      <c r="O35" s="1">
        <v>7</v>
      </c>
      <c r="P35" s="112">
        <v>1</v>
      </c>
      <c r="Q35" s="1">
        <v>7</v>
      </c>
      <c r="R35" s="109">
        <v>1</v>
      </c>
      <c r="S35" s="1">
        <v>9</v>
      </c>
      <c r="T35" s="109">
        <v>3</v>
      </c>
      <c r="U35" s="1">
        <v>7</v>
      </c>
      <c r="V35" s="109">
        <v>2</v>
      </c>
      <c r="W35" s="1">
        <v>9</v>
      </c>
      <c r="X35" s="111">
        <v>3</v>
      </c>
      <c r="Y35" s="1">
        <v>7</v>
      </c>
      <c r="Z35" s="109">
        <v>2</v>
      </c>
      <c r="AA35" s="100">
        <v>8</v>
      </c>
      <c r="AD35" s="48">
        <v>3</v>
      </c>
      <c r="AE35" s="12">
        <v>5</v>
      </c>
    </row>
    <row r="36" spans="1:55" x14ac:dyDescent="0.25">
      <c r="A36" s="16" t="s">
        <v>22</v>
      </c>
      <c r="B36" s="17">
        <v>3</v>
      </c>
      <c r="C36" s="18">
        <v>8</v>
      </c>
      <c r="D36" s="60">
        <v>3</v>
      </c>
      <c r="E36" s="93">
        <v>7</v>
      </c>
      <c r="F36" s="17">
        <v>1</v>
      </c>
      <c r="G36" s="18">
        <v>5</v>
      </c>
      <c r="H36" s="144">
        <v>1</v>
      </c>
      <c r="I36" s="18">
        <v>5</v>
      </c>
      <c r="J36" s="161">
        <v>2</v>
      </c>
      <c r="K36" s="93">
        <v>6</v>
      </c>
      <c r="L36" s="144">
        <v>2</v>
      </c>
      <c r="M36" s="18">
        <v>6</v>
      </c>
      <c r="N36" s="125">
        <v>2</v>
      </c>
      <c r="O36" s="93">
        <v>6</v>
      </c>
      <c r="P36" s="125">
        <v>4</v>
      </c>
      <c r="Q36" s="93">
        <v>7</v>
      </c>
      <c r="R36" s="109">
        <v>1</v>
      </c>
      <c r="S36" s="93">
        <v>6</v>
      </c>
      <c r="T36" s="125">
        <v>2</v>
      </c>
      <c r="U36" s="93">
        <v>6</v>
      </c>
      <c r="V36" s="125">
        <v>3</v>
      </c>
      <c r="W36" s="93">
        <v>8</v>
      </c>
      <c r="X36" s="125">
        <v>2</v>
      </c>
      <c r="Y36" s="93">
        <v>5</v>
      </c>
      <c r="Z36" s="125">
        <v>5</v>
      </c>
      <c r="AA36" s="102">
        <v>7</v>
      </c>
      <c r="AD36" s="49">
        <v>4</v>
      </c>
      <c r="AE36" s="15">
        <v>5</v>
      </c>
    </row>
    <row r="37" spans="1:55" x14ac:dyDescent="0.25">
      <c r="A37" s="19" t="s">
        <v>23</v>
      </c>
      <c r="B37" s="20"/>
      <c r="C37" s="21"/>
      <c r="D37" s="62"/>
      <c r="E37" s="94"/>
      <c r="F37" s="20"/>
      <c r="G37" s="21"/>
      <c r="H37" s="20"/>
      <c r="I37" s="21"/>
      <c r="J37" s="62"/>
      <c r="K37" s="94"/>
      <c r="L37" s="20"/>
      <c r="M37" s="21"/>
      <c r="N37" s="62"/>
      <c r="O37" s="94"/>
      <c r="P37" s="62"/>
      <c r="Q37" s="94"/>
      <c r="R37" s="62"/>
      <c r="S37" s="94"/>
      <c r="T37" s="62"/>
      <c r="U37" s="94"/>
      <c r="V37" s="62"/>
      <c r="W37" s="94"/>
      <c r="X37" s="20"/>
      <c r="Y37" s="21"/>
      <c r="Z37" s="62"/>
      <c r="AA37" s="154"/>
      <c r="AD37" s="48"/>
      <c r="AE37" s="12"/>
    </row>
    <row r="38" spans="1:55" x14ac:dyDescent="0.25">
      <c r="A38" s="22" t="s">
        <v>24</v>
      </c>
      <c r="B38" s="23">
        <v>3</v>
      </c>
      <c r="C38" s="24">
        <v>9</v>
      </c>
      <c r="D38" s="64"/>
      <c r="E38" s="95"/>
      <c r="F38" s="159" t="s">
        <v>124</v>
      </c>
      <c r="G38" s="24">
        <v>5</v>
      </c>
      <c r="H38" s="149">
        <v>2</v>
      </c>
      <c r="I38" s="24">
        <v>7</v>
      </c>
      <c r="J38" s="148">
        <v>2</v>
      </c>
      <c r="K38" s="95">
        <v>6</v>
      </c>
      <c r="L38" s="149">
        <v>2</v>
      </c>
      <c r="M38" s="24">
        <v>7</v>
      </c>
      <c r="N38" s="150" t="s">
        <v>112</v>
      </c>
      <c r="O38" s="95">
        <v>5</v>
      </c>
      <c r="P38" s="148">
        <v>2</v>
      </c>
      <c r="Q38" s="95">
        <v>7</v>
      </c>
      <c r="R38" s="64"/>
      <c r="S38" s="95"/>
      <c r="T38" s="148" t="s">
        <v>147</v>
      </c>
      <c r="U38" s="95">
        <v>4</v>
      </c>
      <c r="V38" s="148">
        <v>3</v>
      </c>
      <c r="W38" s="95">
        <v>8</v>
      </c>
      <c r="X38" s="149">
        <v>5</v>
      </c>
      <c r="Y38" s="24">
        <v>8</v>
      </c>
      <c r="Z38" s="64"/>
      <c r="AA38" s="104"/>
      <c r="AD38" s="48">
        <v>10</v>
      </c>
      <c r="AE38" s="12">
        <v>10</v>
      </c>
    </row>
    <row r="39" spans="1:55" x14ac:dyDescent="0.25">
      <c r="A39" s="22" t="s">
        <v>25</v>
      </c>
      <c r="B39" s="23"/>
      <c r="C39" s="24"/>
      <c r="D39" s="64">
        <v>3</v>
      </c>
      <c r="E39" s="95">
        <v>9</v>
      </c>
      <c r="F39" s="23">
        <v>1</v>
      </c>
      <c r="G39" s="24">
        <v>5</v>
      </c>
      <c r="H39" s="23"/>
      <c r="I39" s="24"/>
      <c r="J39" s="148" t="s">
        <v>161</v>
      </c>
      <c r="K39" s="95">
        <v>9</v>
      </c>
      <c r="L39" s="23"/>
      <c r="M39" s="24"/>
      <c r="N39" s="64"/>
      <c r="O39" s="95"/>
      <c r="P39" s="64"/>
      <c r="Q39" s="95"/>
      <c r="R39" s="64"/>
      <c r="S39" s="95"/>
      <c r="T39" s="148" t="s">
        <v>145</v>
      </c>
      <c r="U39" s="95">
        <v>8</v>
      </c>
      <c r="V39" s="64"/>
      <c r="W39" s="95"/>
      <c r="X39" s="23"/>
      <c r="Y39" s="24"/>
      <c r="Z39" s="64"/>
      <c r="AA39" s="104"/>
      <c r="AD39" s="48">
        <v>2</v>
      </c>
      <c r="AE39" s="12">
        <v>5</v>
      </c>
    </row>
    <row r="40" spans="1:55" ht="13.5" customHeight="1" x14ac:dyDescent="0.25">
      <c r="A40" s="22" t="s">
        <v>26</v>
      </c>
      <c r="B40" s="23">
        <v>1</v>
      </c>
      <c r="C40" s="24">
        <v>4</v>
      </c>
      <c r="D40" s="64"/>
      <c r="E40" s="95"/>
      <c r="F40" s="23" t="s">
        <v>123</v>
      </c>
      <c r="G40" s="24">
        <v>8</v>
      </c>
      <c r="H40" s="149">
        <v>3</v>
      </c>
      <c r="I40" s="24">
        <v>7</v>
      </c>
      <c r="J40" s="148">
        <v>3</v>
      </c>
      <c r="K40" s="95">
        <v>8</v>
      </c>
      <c r="L40" s="159" t="s">
        <v>124</v>
      </c>
      <c r="M40" s="24">
        <v>9</v>
      </c>
      <c r="N40" s="148" t="s">
        <v>129</v>
      </c>
      <c r="O40" s="95">
        <v>5</v>
      </c>
      <c r="P40" s="148" t="s">
        <v>148</v>
      </c>
      <c r="Q40" s="95">
        <v>6</v>
      </c>
      <c r="R40" s="148">
        <v>3</v>
      </c>
      <c r="S40" s="95">
        <v>6</v>
      </c>
      <c r="T40" s="148" t="s">
        <v>146</v>
      </c>
      <c r="U40" s="95">
        <v>6</v>
      </c>
      <c r="V40" s="148" t="s">
        <v>143</v>
      </c>
      <c r="W40" s="95">
        <v>11</v>
      </c>
      <c r="X40" s="149">
        <v>2</v>
      </c>
      <c r="Y40" s="24">
        <v>6</v>
      </c>
      <c r="Z40" s="64"/>
      <c r="AA40" s="104"/>
      <c r="AD40" s="48" t="s">
        <v>17</v>
      </c>
      <c r="AE40" s="12">
        <v>14</v>
      </c>
    </row>
    <row r="41" spans="1:55" ht="13.5" customHeight="1" x14ac:dyDescent="0.25">
      <c r="A41" s="25" t="s">
        <v>30</v>
      </c>
      <c r="B41" s="26"/>
      <c r="C41" s="27"/>
      <c r="D41" s="66"/>
      <c r="E41" s="96"/>
      <c r="F41" s="26"/>
      <c r="G41" s="27"/>
      <c r="H41" s="26"/>
      <c r="I41" s="27"/>
      <c r="J41" s="66"/>
      <c r="K41" s="96"/>
      <c r="L41" s="26"/>
      <c r="M41" s="27"/>
      <c r="N41" s="66"/>
      <c r="O41" s="96"/>
      <c r="P41" s="66"/>
      <c r="Q41" s="96"/>
      <c r="R41" s="66"/>
      <c r="S41" s="96"/>
      <c r="T41" s="66"/>
      <c r="U41" s="96"/>
      <c r="V41" s="66"/>
      <c r="W41" s="96"/>
      <c r="X41" s="26"/>
      <c r="Y41" s="27"/>
      <c r="Z41" s="66"/>
      <c r="AA41" s="105"/>
      <c r="AD41" s="50"/>
      <c r="AE41" s="51"/>
    </row>
    <row r="42" spans="1:55" x14ac:dyDescent="0.25">
      <c r="A42" s="22" t="s">
        <v>33</v>
      </c>
      <c r="B42" s="23">
        <v>5</v>
      </c>
      <c r="C42" s="24">
        <v>10</v>
      </c>
      <c r="D42" s="64">
        <v>4</v>
      </c>
      <c r="E42" s="95">
        <v>10</v>
      </c>
      <c r="F42" s="23">
        <v>5</v>
      </c>
      <c r="G42" s="24">
        <v>10</v>
      </c>
      <c r="H42" s="149">
        <v>5</v>
      </c>
      <c r="I42" s="24">
        <v>10</v>
      </c>
      <c r="J42" s="148">
        <v>5</v>
      </c>
      <c r="K42" s="95">
        <v>10</v>
      </c>
      <c r="L42" s="159">
        <v>8</v>
      </c>
      <c r="M42" s="24">
        <v>14</v>
      </c>
      <c r="N42" s="148">
        <v>4</v>
      </c>
      <c r="O42" s="95">
        <v>10</v>
      </c>
      <c r="P42" s="148">
        <v>8</v>
      </c>
      <c r="Q42" s="95">
        <v>14</v>
      </c>
      <c r="R42" s="148">
        <v>5</v>
      </c>
      <c r="S42" s="95">
        <v>10</v>
      </c>
      <c r="T42" s="148">
        <v>7</v>
      </c>
      <c r="U42" s="95">
        <v>11</v>
      </c>
      <c r="V42" s="148">
        <v>5</v>
      </c>
      <c r="W42" s="95">
        <v>11</v>
      </c>
      <c r="X42" s="149">
        <v>6</v>
      </c>
      <c r="Y42" s="24">
        <v>11</v>
      </c>
      <c r="Z42" s="148">
        <v>2</v>
      </c>
      <c r="AA42" s="104">
        <v>7</v>
      </c>
      <c r="AD42" s="48">
        <v>8</v>
      </c>
      <c r="AE42" s="12">
        <v>9</v>
      </c>
    </row>
    <row r="43" spans="1:55" ht="26.4" x14ac:dyDescent="0.25">
      <c r="A43" s="22" t="s">
        <v>34</v>
      </c>
      <c r="B43" s="23" t="s">
        <v>168</v>
      </c>
      <c r="C43" s="24">
        <v>13</v>
      </c>
      <c r="D43" s="150">
        <v>8</v>
      </c>
      <c r="E43" s="95">
        <v>12</v>
      </c>
      <c r="F43" s="23">
        <v>3</v>
      </c>
      <c r="G43" s="24">
        <v>8</v>
      </c>
      <c r="H43" s="149">
        <v>4</v>
      </c>
      <c r="I43" s="24">
        <v>10</v>
      </c>
      <c r="J43" s="148" t="s">
        <v>132</v>
      </c>
      <c r="K43" s="95">
        <v>5</v>
      </c>
      <c r="L43" s="149">
        <v>3</v>
      </c>
      <c r="M43" s="24">
        <v>8</v>
      </c>
      <c r="N43" s="150" t="s">
        <v>150</v>
      </c>
      <c r="O43" s="95">
        <v>13</v>
      </c>
      <c r="P43" s="148">
        <v>5</v>
      </c>
      <c r="Q43" s="95">
        <v>10</v>
      </c>
      <c r="R43" s="150">
        <v>7</v>
      </c>
      <c r="S43" s="95">
        <v>10</v>
      </c>
      <c r="T43" s="150">
        <v>4</v>
      </c>
      <c r="U43" s="95">
        <v>10</v>
      </c>
      <c r="V43" s="148">
        <v>6</v>
      </c>
      <c r="W43" s="95">
        <v>10</v>
      </c>
      <c r="X43" s="149" t="s">
        <v>138</v>
      </c>
      <c r="Y43" s="24">
        <v>11</v>
      </c>
      <c r="Z43" s="148" t="s">
        <v>119</v>
      </c>
      <c r="AA43" s="104">
        <v>5</v>
      </c>
      <c r="AD43" s="48">
        <v>11</v>
      </c>
      <c r="AE43" s="12">
        <v>13</v>
      </c>
    </row>
    <row r="44" spans="1:55" x14ac:dyDescent="0.25">
      <c r="A44" s="16" t="s">
        <v>36</v>
      </c>
      <c r="B44" s="17">
        <v>6</v>
      </c>
      <c r="C44" s="18">
        <v>14</v>
      </c>
      <c r="D44" s="161">
        <v>5</v>
      </c>
      <c r="E44" s="93">
        <v>11</v>
      </c>
      <c r="F44" s="17">
        <v>4</v>
      </c>
      <c r="G44" s="18">
        <v>10</v>
      </c>
      <c r="H44" s="144">
        <v>2</v>
      </c>
      <c r="I44" s="18">
        <v>7</v>
      </c>
      <c r="J44" s="161">
        <v>7</v>
      </c>
      <c r="K44" s="93">
        <v>15</v>
      </c>
      <c r="L44" s="17">
        <v>5</v>
      </c>
      <c r="M44" s="18">
        <v>13</v>
      </c>
      <c r="N44" s="125">
        <v>4</v>
      </c>
      <c r="O44" s="93">
        <v>9</v>
      </c>
      <c r="P44" s="125">
        <v>6</v>
      </c>
      <c r="Q44" s="93">
        <v>15</v>
      </c>
      <c r="R44" s="125">
        <v>4</v>
      </c>
      <c r="S44" s="93">
        <v>11</v>
      </c>
      <c r="T44" s="125">
        <v>7</v>
      </c>
      <c r="U44" s="93">
        <v>17</v>
      </c>
      <c r="V44" s="125">
        <v>5</v>
      </c>
      <c r="W44" s="93">
        <v>13</v>
      </c>
      <c r="X44" s="144">
        <v>5</v>
      </c>
      <c r="Y44" s="18">
        <v>13</v>
      </c>
      <c r="Z44" s="125">
        <v>4</v>
      </c>
      <c r="AA44" s="102">
        <v>9</v>
      </c>
      <c r="AD44" s="49">
        <v>9</v>
      </c>
      <c r="AE44" s="15">
        <v>11</v>
      </c>
    </row>
    <row r="45" spans="1:55" x14ac:dyDescent="0.25">
      <c r="A45" s="28" t="s">
        <v>37</v>
      </c>
      <c r="B45" s="29"/>
      <c r="C45" s="30"/>
      <c r="D45" s="68"/>
      <c r="E45" s="97"/>
      <c r="F45" s="29"/>
      <c r="G45" s="30"/>
      <c r="H45" s="29"/>
      <c r="I45" s="30"/>
      <c r="J45" s="68"/>
      <c r="K45" s="97"/>
      <c r="L45" s="29"/>
      <c r="M45" s="30"/>
      <c r="N45" s="68"/>
      <c r="O45" s="97"/>
      <c r="P45" s="68"/>
      <c r="Q45" s="97"/>
      <c r="R45" s="68"/>
      <c r="S45" s="97"/>
      <c r="T45" s="68"/>
      <c r="U45" s="97"/>
      <c r="V45" s="68"/>
      <c r="W45" s="97"/>
      <c r="X45" s="29"/>
      <c r="Y45" s="30"/>
      <c r="Z45" s="68"/>
      <c r="AA45" s="106"/>
      <c r="AD45" s="52"/>
      <c r="AE45" s="53"/>
    </row>
    <row r="46" spans="1:55" x14ac:dyDescent="0.25">
      <c r="A46" s="22" t="s">
        <v>38</v>
      </c>
      <c r="B46" s="23"/>
      <c r="C46" s="24"/>
      <c r="D46" s="64">
        <v>6</v>
      </c>
      <c r="E46" s="95">
        <v>10</v>
      </c>
      <c r="F46" s="23" t="s">
        <v>151</v>
      </c>
      <c r="G46" s="24">
        <v>7</v>
      </c>
      <c r="H46" s="159">
        <v>8</v>
      </c>
      <c r="I46" s="24">
        <v>14</v>
      </c>
      <c r="J46" s="148">
        <v>4</v>
      </c>
      <c r="K46" s="95">
        <v>9</v>
      </c>
      <c r="L46" s="159">
        <v>6</v>
      </c>
      <c r="M46" s="24">
        <v>10</v>
      </c>
      <c r="N46" s="148">
        <v>7</v>
      </c>
      <c r="O46" s="95">
        <v>11</v>
      </c>
      <c r="P46" s="150">
        <v>7</v>
      </c>
      <c r="Q46" s="95">
        <v>12</v>
      </c>
      <c r="R46" s="148">
        <v>6</v>
      </c>
      <c r="S46" s="95">
        <v>11</v>
      </c>
      <c r="T46" s="148">
        <v>6</v>
      </c>
      <c r="U46" s="95">
        <v>11</v>
      </c>
      <c r="V46" s="150">
        <v>2</v>
      </c>
      <c r="W46" s="95">
        <v>6</v>
      </c>
      <c r="X46" s="149">
        <v>9</v>
      </c>
      <c r="Y46" s="24">
        <v>13</v>
      </c>
      <c r="Z46" s="148">
        <v>7</v>
      </c>
      <c r="AA46" s="104">
        <v>9</v>
      </c>
      <c r="AD46" s="48">
        <v>1</v>
      </c>
      <c r="AE46" s="12">
        <v>5</v>
      </c>
    </row>
    <row r="47" spans="1:55" ht="14.4" thickBot="1" x14ac:dyDescent="0.3">
      <c r="A47" s="31" t="s">
        <v>39</v>
      </c>
      <c r="B47" s="32"/>
      <c r="C47" s="33"/>
      <c r="D47" s="107"/>
      <c r="E47" s="83"/>
      <c r="F47" s="32"/>
      <c r="G47" s="33"/>
      <c r="H47" s="32"/>
      <c r="I47" s="33"/>
      <c r="J47" s="107"/>
      <c r="K47" s="83"/>
      <c r="L47" s="32"/>
      <c r="M47" s="33"/>
      <c r="N47" s="107"/>
      <c r="O47" s="83"/>
      <c r="P47" s="107"/>
      <c r="Q47" s="83"/>
      <c r="R47" s="107"/>
      <c r="S47" s="83"/>
      <c r="T47" s="107"/>
      <c r="U47" s="83"/>
      <c r="V47" s="107"/>
      <c r="W47" s="83"/>
      <c r="X47" s="32"/>
      <c r="Y47" s="33"/>
      <c r="Z47" s="107"/>
      <c r="AA47" s="108"/>
      <c r="AD47" s="89">
        <v>5</v>
      </c>
      <c r="AE47" s="90">
        <v>6</v>
      </c>
    </row>
    <row r="48" spans="1:55" ht="12.75" customHeight="1" thickBot="1" x14ac:dyDescent="0.3">
      <c r="A48" s="34" t="s">
        <v>40</v>
      </c>
      <c r="C48" s="152">
        <f>SUM(C31:C36)+C44+C50</f>
        <v>75</v>
      </c>
      <c r="D48" s="152"/>
      <c r="E48" s="152">
        <f>SUM(E31:E36)+E44+E50</f>
        <v>75</v>
      </c>
      <c r="F48" s="152"/>
      <c r="G48" s="152">
        <f>SUM(G31:G36)+G44+G50</f>
        <v>75</v>
      </c>
      <c r="H48" s="1"/>
      <c r="I48" s="152">
        <f>SUM(I31:I36)+I44+I50</f>
        <v>75</v>
      </c>
      <c r="J48" s="152"/>
      <c r="K48" s="152">
        <f>SUM(K31:K36)+K44+K50</f>
        <v>75</v>
      </c>
      <c r="L48" s="152"/>
      <c r="M48" s="152">
        <f>SUM(M31:M36)+M44+M50</f>
        <v>75</v>
      </c>
      <c r="N48" s="152"/>
      <c r="O48" s="152">
        <f>SUM(O31:O36)+O44+O50</f>
        <v>75</v>
      </c>
      <c r="Q48" s="152">
        <f t="shared" ref="Q48:AA48" si="4">SUM(Q31:Q36)+Q44+Q50</f>
        <v>75</v>
      </c>
      <c r="R48" s="3"/>
      <c r="S48" s="152">
        <f t="shared" si="4"/>
        <v>75</v>
      </c>
      <c r="T48" s="3"/>
      <c r="U48" s="152">
        <f t="shared" si="4"/>
        <v>75</v>
      </c>
      <c r="V48" s="3"/>
      <c r="W48" s="152">
        <f t="shared" si="4"/>
        <v>75</v>
      </c>
      <c r="X48" s="152"/>
      <c r="Y48" s="152">
        <f t="shared" si="4"/>
        <v>68</v>
      </c>
      <c r="Z48" s="152"/>
      <c r="AA48" s="152">
        <f t="shared" si="4"/>
        <v>74</v>
      </c>
      <c r="AB48" s="119" t="s">
        <v>111</v>
      </c>
      <c r="AC48" s="4"/>
      <c r="AE48" s="4"/>
      <c r="AF48" s="1"/>
      <c r="AG48" s="1"/>
      <c r="AH48" s="1"/>
      <c r="AI48" s="1"/>
      <c r="AJ48" s="3"/>
      <c r="AK48" s="3"/>
      <c r="AL48" s="1"/>
      <c r="AM48" s="3"/>
      <c r="AN48" s="1"/>
      <c r="AO48" s="4"/>
      <c r="AP48" s="1"/>
      <c r="AQ48" s="4"/>
      <c r="AR48" s="1"/>
      <c r="AS48" s="4"/>
      <c r="AT48" s="1"/>
      <c r="AU48" s="1"/>
      <c r="AV48" s="1"/>
      <c r="AW48" s="1"/>
      <c r="AX48" s="1"/>
      <c r="AY48" s="1"/>
      <c r="AZ48" s="1"/>
      <c r="BA48" s="1"/>
      <c r="BB48" s="3"/>
      <c r="BC48" s="3">
        <f>SUM(AE31:AE47)</f>
        <v>100</v>
      </c>
    </row>
    <row r="49" spans="1:37" x14ac:dyDescent="0.25">
      <c r="A49" s="36" t="s">
        <v>41</v>
      </c>
      <c r="C49" s="153"/>
      <c r="E49" s="153"/>
      <c r="F49" s="1"/>
      <c r="G49" s="153"/>
      <c r="H49" s="1"/>
      <c r="I49" s="153"/>
      <c r="K49" s="153"/>
      <c r="L49" s="1"/>
      <c r="M49" s="153"/>
      <c r="O49" s="153"/>
      <c r="Q49" s="153"/>
      <c r="R49" s="3"/>
      <c r="S49" s="153"/>
      <c r="T49" s="3"/>
      <c r="U49" s="153"/>
      <c r="V49" s="3"/>
      <c r="W49" s="153"/>
      <c r="Y49" s="153"/>
      <c r="Z49" s="3"/>
      <c r="AA49" s="153"/>
      <c r="AC49" s="4"/>
      <c r="AE49" s="4"/>
      <c r="AF49" s="1"/>
      <c r="AG49" s="1"/>
      <c r="AH49" s="1"/>
      <c r="AI49" s="1"/>
      <c r="AJ49" s="1"/>
      <c r="AK49" s="1"/>
    </row>
    <row r="50" spans="1:37" x14ac:dyDescent="0.25">
      <c r="A50" s="10" t="s">
        <v>42</v>
      </c>
      <c r="B50" s="1">
        <v>4</v>
      </c>
      <c r="C50" s="153">
        <v>10</v>
      </c>
      <c r="D50" s="3">
        <v>2</v>
      </c>
      <c r="E50" s="153">
        <v>11</v>
      </c>
      <c r="F50" s="145">
        <v>5</v>
      </c>
      <c r="G50" s="153">
        <v>14</v>
      </c>
      <c r="H50" s="123">
        <v>4</v>
      </c>
      <c r="I50" s="153">
        <v>13</v>
      </c>
      <c r="J50" s="113">
        <v>1</v>
      </c>
      <c r="K50" s="153">
        <v>10</v>
      </c>
      <c r="L50" s="123">
        <v>3</v>
      </c>
      <c r="M50" s="153">
        <v>8</v>
      </c>
      <c r="N50" s="143">
        <v>5</v>
      </c>
      <c r="O50" s="153">
        <v>15</v>
      </c>
      <c r="P50" s="143">
        <v>3</v>
      </c>
      <c r="Q50" s="153">
        <v>10</v>
      </c>
      <c r="R50" s="143">
        <v>5</v>
      </c>
      <c r="S50" s="153">
        <v>11</v>
      </c>
      <c r="T50" s="143">
        <v>1</v>
      </c>
      <c r="U50" s="153">
        <v>9</v>
      </c>
      <c r="V50" s="143">
        <v>4</v>
      </c>
      <c r="W50" s="153">
        <v>11</v>
      </c>
      <c r="X50" s="123">
        <v>3</v>
      </c>
      <c r="Y50" s="153">
        <v>8</v>
      </c>
      <c r="Z50" s="143">
        <v>5</v>
      </c>
      <c r="AA50" s="153">
        <v>15</v>
      </c>
      <c r="AC50" s="4"/>
      <c r="AE50" s="4"/>
      <c r="AF50" s="1"/>
      <c r="AG50" s="1"/>
      <c r="AH50" s="1"/>
      <c r="AI50" s="1"/>
      <c r="AJ50" s="1"/>
      <c r="AK50" s="1"/>
    </row>
    <row r="51" spans="1:37" x14ac:dyDescent="0.25">
      <c r="A51" s="40" t="s">
        <v>44</v>
      </c>
      <c r="C51" s="153"/>
      <c r="D51" s="3">
        <v>2</v>
      </c>
      <c r="E51" s="153">
        <v>8</v>
      </c>
      <c r="F51" s="1">
        <v>2</v>
      </c>
      <c r="G51" s="153">
        <v>6</v>
      </c>
      <c r="H51" s="123" t="s">
        <v>123</v>
      </c>
      <c r="I51" s="153">
        <v>3</v>
      </c>
      <c r="K51" s="153"/>
      <c r="L51" s="123" t="s">
        <v>123</v>
      </c>
      <c r="M51" s="153">
        <v>3</v>
      </c>
      <c r="N51" s="143" t="s">
        <v>121</v>
      </c>
      <c r="O51" s="153">
        <v>7</v>
      </c>
      <c r="Q51" s="153"/>
      <c r="R51" s="113">
        <v>4</v>
      </c>
      <c r="S51" s="153">
        <v>12</v>
      </c>
      <c r="T51" s="143" t="s">
        <v>144</v>
      </c>
      <c r="U51" s="153">
        <v>5</v>
      </c>
      <c r="V51" s="143" t="s">
        <v>142</v>
      </c>
      <c r="W51" s="153">
        <v>3</v>
      </c>
      <c r="Y51" s="153"/>
      <c r="Z51" s="113" t="s">
        <v>140</v>
      </c>
      <c r="AA51" s="153">
        <v>24</v>
      </c>
      <c r="AC51" s="4"/>
      <c r="AE51" s="4"/>
      <c r="AF51" s="1"/>
      <c r="AG51" s="1"/>
      <c r="AH51" s="1"/>
      <c r="AI51" s="1"/>
      <c r="AJ51" s="1"/>
      <c r="AK51" s="1"/>
    </row>
    <row r="52" spans="1:37" x14ac:dyDescent="0.25">
      <c r="A52" s="40" t="s">
        <v>45</v>
      </c>
      <c r="B52" s="145">
        <v>8</v>
      </c>
      <c r="C52" s="153">
        <v>15</v>
      </c>
      <c r="D52" s="3">
        <v>1</v>
      </c>
      <c r="E52" s="153">
        <v>3</v>
      </c>
      <c r="F52" s="1" t="s">
        <v>144</v>
      </c>
      <c r="G52" s="153">
        <v>6</v>
      </c>
      <c r="H52" s="1"/>
      <c r="I52" s="153"/>
      <c r="J52" s="143">
        <v>1</v>
      </c>
      <c r="K52" s="153">
        <v>4</v>
      </c>
      <c r="L52" s="123">
        <v>1</v>
      </c>
      <c r="M52" s="153">
        <v>5</v>
      </c>
      <c r="N52" s="143">
        <v>1</v>
      </c>
      <c r="O52" s="153">
        <v>4</v>
      </c>
      <c r="P52" s="143">
        <v>1</v>
      </c>
      <c r="Q52" s="153">
        <v>5</v>
      </c>
      <c r="R52" s="143">
        <v>2</v>
      </c>
      <c r="S52" s="153">
        <v>7</v>
      </c>
      <c r="T52" s="3"/>
      <c r="U52" s="153"/>
      <c r="V52" s="3"/>
      <c r="W52" s="153"/>
      <c r="X52" s="123" t="s">
        <v>139</v>
      </c>
      <c r="Y52" s="153">
        <v>3</v>
      </c>
      <c r="Z52" s="113">
        <v>3</v>
      </c>
      <c r="AA52" s="153">
        <v>9</v>
      </c>
      <c r="AC52" s="4"/>
      <c r="AE52" s="4"/>
      <c r="AF52" s="1"/>
      <c r="AG52" s="1"/>
      <c r="AH52" s="1"/>
      <c r="AI52" s="1"/>
      <c r="AJ52" s="1"/>
      <c r="AK52" s="1"/>
    </row>
    <row r="53" spans="1:37" x14ac:dyDescent="0.25">
      <c r="A53" s="40" t="s">
        <v>47</v>
      </c>
      <c r="C53" s="153"/>
      <c r="E53" s="153"/>
      <c r="F53" s="1"/>
      <c r="G53" s="153"/>
      <c r="H53" s="123" t="s">
        <v>160</v>
      </c>
      <c r="I53" s="153">
        <v>3</v>
      </c>
      <c r="K53" s="153"/>
      <c r="L53" s="1"/>
      <c r="M53" s="153"/>
      <c r="N53" s="143">
        <v>3</v>
      </c>
      <c r="O53" s="153">
        <v>6</v>
      </c>
      <c r="P53" s="143" t="s">
        <v>149</v>
      </c>
      <c r="Q53" s="153">
        <v>2</v>
      </c>
      <c r="R53" s="143">
        <v>1</v>
      </c>
      <c r="S53" s="153">
        <v>5</v>
      </c>
      <c r="T53" s="113">
        <v>1</v>
      </c>
      <c r="U53" s="153">
        <v>5</v>
      </c>
      <c r="V53" s="143">
        <v>1</v>
      </c>
      <c r="W53" s="153">
        <v>5</v>
      </c>
      <c r="X53" s="123">
        <v>1</v>
      </c>
      <c r="Y53" s="153">
        <v>5</v>
      </c>
      <c r="Z53" s="143">
        <v>1</v>
      </c>
      <c r="AA53" s="153">
        <v>7</v>
      </c>
      <c r="AC53" s="4"/>
      <c r="AE53" s="4"/>
      <c r="AF53" s="1"/>
      <c r="AG53" s="1"/>
      <c r="AH53" s="1"/>
      <c r="AI53" s="1"/>
      <c r="AJ53" s="1"/>
      <c r="AK53" s="1"/>
    </row>
    <row r="54" spans="1:37" x14ac:dyDescent="0.25">
      <c r="A54" s="40" t="s">
        <v>49</v>
      </c>
      <c r="B54" s="1">
        <v>6</v>
      </c>
      <c r="C54" s="153">
        <v>13</v>
      </c>
      <c r="D54" s="3">
        <v>5</v>
      </c>
      <c r="E54" s="153">
        <v>11</v>
      </c>
      <c r="F54" s="1">
        <v>4</v>
      </c>
      <c r="G54" s="153">
        <v>10</v>
      </c>
      <c r="H54" s="123" t="s">
        <v>159</v>
      </c>
      <c r="I54" s="153">
        <v>14</v>
      </c>
      <c r="J54" s="143">
        <v>6</v>
      </c>
      <c r="K54" s="153">
        <v>14</v>
      </c>
      <c r="L54" s="145">
        <v>5</v>
      </c>
      <c r="M54" s="153">
        <v>10</v>
      </c>
      <c r="N54" s="113" t="s">
        <v>151</v>
      </c>
      <c r="O54" s="153">
        <v>7</v>
      </c>
      <c r="P54" s="113">
        <v>6</v>
      </c>
      <c r="Q54" s="153">
        <v>10</v>
      </c>
      <c r="R54" s="143" t="s">
        <v>132</v>
      </c>
      <c r="S54" s="153">
        <v>3</v>
      </c>
      <c r="T54" s="143">
        <v>3</v>
      </c>
      <c r="U54" s="153">
        <v>8</v>
      </c>
      <c r="V54" s="143">
        <v>4</v>
      </c>
      <c r="W54" s="153">
        <v>10</v>
      </c>
      <c r="X54" s="123">
        <v>8</v>
      </c>
      <c r="Y54" s="153">
        <v>10</v>
      </c>
      <c r="Z54" s="143">
        <v>4</v>
      </c>
      <c r="AA54" s="153">
        <v>8</v>
      </c>
      <c r="AC54" s="4"/>
      <c r="AE54" s="4"/>
      <c r="AF54" s="1"/>
      <c r="AG54" s="1"/>
      <c r="AH54" s="1"/>
      <c r="AI54" s="1"/>
      <c r="AJ54" s="1"/>
      <c r="AK54" s="1"/>
    </row>
    <row r="55" spans="1:37" ht="14.4" thickBot="1" x14ac:dyDescent="0.3">
      <c r="A55" s="41" t="s">
        <v>51</v>
      </c>
      <c r="B55" s="187">
        <v>7</v>
      </c>
      <c r="C55" s="155">
        <v>11</v>
      </c>
      <c r="D55" s="188">
        <v>7</v>
      </c>
      <c r="E55" s="155">
        <v>12</v>
      </c>
      <c r="F55" s="187">
        <v>6</v>
      </c>
      <c r="G55" s="155">
        <v>10</v>
      </c>
      <c r="H55" s="158" t="s">
        <v>124</v>
      </c>
      <c r="I55" s="155">
        <v>7</v>
      </c>
      <c r="J55" s="157">
        <v>7</v>
      </c>
      <c r="K55" s="155">
        <v>10</v>
      </c>
      <c r="L55" s="158">
        <v>4</v>
      </c>
      <c r="M55" s="155">
        <v>9</v>
      </c>
      <c r="N55" s="157" t="s">
        <v>122</v>
      </c>
      <c r="O55" s="155">
        <v>7</v>
      </c>
      <c r="P55" s="156">
        <v>4</v>
      </c>
      <c r="Q55" s="155">
        <v>9</v>
      </c>
      <c r="R55" s="156" t="s">
        <v>134</v>
      </c>
      <c r="S55" s="155">
        <v>11</v>
      </c>
      <c r="T55" s="157">
        <v>2</v>
      </c>
      <c r="U55" s="155">
        <v>7</v>
      </c>
      <c r="V55" s="157">
        <v>7</v>
      </c>
      <c r="W55" s="155">
        <v>11</v>
      </c>
      <c r="X55" s="158">
        <v>4</v>
      </c>
      <c r="Y55" s="155">
        <v>8</v>
      </c>
      <c r="Z55" s="157" t="s">
        <v>120</v>
      </c>
      <c r="AA55" s="155">
        <v>6</v>
      </c>
      <c r="AC55" s="4"/>
      <c r="AE55" s="4"/>
      <c r="AF55" s="1"/>
      <c r="AG55" s="1"/>
      <c r="AH55" s="1"/>
      <c r="AI55" s="1"/>
      <c r="AJ55" s="1"/>
      <c r="AK55" s="1"/>
    </row>
    <row r="56" spans="1:37" x14ac:dyDescent="0.25">
      <c r="C56" s="3">
        <f>SUM(C38:C43)+C46+C51+C52+C53+C54+C55</f>
        <v>75</v>
      </c>
      <c r="E56" s="3">
        <f t="shared" ref="E56" si="5">SUM(E38:E43)+E46+E51+E52+E53+E54+E55</f>
        <v>75</v>
      </c>
      <c r="F56" s="1"/>
      <c r="G56" s="3">
        <f>SUM(G38:G43)+G46+G51+G52+G53+G54+G55</f>
        <v>75</v>
      </c>
      <c r="H56" s="1"/>
      <c r="I56" s="3">
        <f>SUM(I38:I43)+I46+I51+I52+I53+I54+I55</f>
        <v>75</v>
      </c>
      <c r="K56" s="3">
        <f t="shared" ref="K56:AA56" si="6">SUM(K38:K43)+K46+K51+K52+K53+K54+K55</f>
        <v>75</v>
      </c>
      <c r="L56" s="1"/>
      <c r="M56" s="3">
        <f>SUM(M38:M43)+M46+M51+M52+M53+M54+M55</f>
        <v>75</v>
      </c>
      <c r="O56" s="3">
        <f t="shared" ref="O56" si="7">SUM(O38:O43)+O46+O51+O52+O53+O54+O55</f>
        <v>75</v>
      </c>
      <c r="Q56" s="3">
        <f t="shared" si="6"/>
        <v>75</v>
      </c>
      <c r="R56" s="3"/>
      <c r="S56" s="3">
        <f t="shared" si="6"/>
        <v>75</v>
      </c>
      <c r="T56" s="3"/>
      <c r="U56" s="3">
        <f t="shared" si="6"/>
        <v>75</v>
      </c>
      <c r="V56" s="3"/>
      <c r="W56" s="3">
        <f t="shared" si="6"/>
        <v>75</v>
      </c>
      <c r="X56" s="3"/>
      <c r="Y56" s="3">
        <f t="shared" si="6"/>
        <v>75</v>
      </c>
      <c r="Z56" s="3"/>
      <c r="AA56" s="3">
        <f t="shared" si="6"/>
        <v>75</v>
      </c>
      <c r="AB56" s="119" t="s">
        <v>141</v>
      </c>
      <c r="AC56" s="4"/>
      <c r="AE56" s="4"/>
      <c r="AF56" s="1"/>
      <c r="AG56" s="1"/>
      <c r="AH56" s="1"/>
      <c r="AI56" s="1"/>
      <c r="AJ56" s="1"/>
      <c r="AK56" s="1"/>
    </row>
  </sheetData>
  <phoneticPr fontId="1" type="noConversion"/>
  <pageMargins left="0.14000000000000001" right="0.17" top="0.2" bottom="0.21" header="0.17" footer="0.16"/>
  <pageSetup paperSize="9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77734375"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77734375"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竣勋 黄</cp:lastModifiedBy>
  <cp:lastPrinted>2018-06-21T01:54:26Z</cp:lastPrinted>
  <dcterms:created xsi:type="dcterms:W3CDTF">2011-01-29T05:13:33Z</dcterms:created>
  <dcterms:modified xsi:type="dcterms:W3CDTF">2026-05-12T11:23:12Z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1033-11.2.0.9085</vt:lpwstr>
  </property>
</Properties>
</file>