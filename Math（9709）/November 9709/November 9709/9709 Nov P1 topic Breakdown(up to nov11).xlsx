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120" windowWidth="13380" windowHeight="71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F19" i="1"/>
  <c r="AF4"/>
  <c r="AF5"/>
  <c r="AF6"/>
  <c r="AF7"/>
  <c r="AF8"/>
  <c r="AF9"/>
  <c r="AF10"/>
  <c r="AF11"/>
  <c r="AF12"/>
  <c r="AF13"/>
  <c r="AF14"/>
  <c r="AF15"/>
  <c r="AF16"/>
  <c r="AF17"/>
  <c r="AF18"/>
  <c r="AF3"/>
  <c r="AE19"/>
  <c r="AE4"/>
  <c r="AE5"/>
  <c r="AE6"/>
  <c r="AE7"/>
  <c r="AE8"/>
  <c r="AE9"/>
  <c r="AE10"/>
  <c r="AE11"/>
  <c r="AE12"/>
  <c r="AE13"/>
  <c r="AE14"/>
  <c r="AE15"/>
  <c r="AE16"/>
  <c r="AE17"/>
  <c r="AE18"/>
  <c r="AE3"/>
  <c r="AD19"/>
  <c r="AB19"/>
  <c r="Z19"/>
  <c r="X19"/>
  <c r="V19"/>
  <c r="T19"/>
  <c r="R19"/>
  <c r="P19"/>
  <c r="N19"/>
  <c r="L19"/>
  <c r="J19"/>
  <c r="H19"/>
  <c r="F19"/>
  <c r="D19"/>
</calcChain>
</file>

<file path=xl/sharedStrings.xml><?xml version="1.0" encoding="utf-8"?>
<sst xmlns="http://schemas.openxmlformats.org/spreadsheetml/2006/main" count="108" uniqueCount="89">
  <si>
    <t>Quadratics</t>
  </si>
  <si>
    <t>Functions</t>
  </si>
  <si>
    <t>Coordinate Geometry</t>
  </si>
  <si>
    <t>Circular Measure</t>
  </si>
  <si>
    <t>Trigonometry</t>
  </si>
  <si>
    <t>Vectors</t>
  </si>
  <si>
    <t>AP/ GP</t>
  </si>
  <si>
    <t>Binomial Series</t>
  </si>
  <si>
    <t>Differentiation</t>
  </si>
  <si>
    <t>Tangent/Normal</t>
  </si>
  <si>
    <t>Rate of Change</t>
  </si>
  <si>
    <t>Max/Min</t>
  </si>
  <si>
    <t>Integration</t>
  </si>
  <si>
    <t>Area</t>
  </si>
  <si>
    <t>Volume</t>
  </si>
  <si>
    <t>Equation of Curve</t>
  </si>
  <si>
    <t>9a</t>
  </si>
  <si>
    <t>9b</t>
  </si>
  <si>
    <t>9c</t>
  </si>
  <si>
    <t>10a</t>
  </si>
  <si>
    <t>10b</t>
  </si>
  <si>
    <t>10c</t>
  </si>
  <si>
    <t>N11V1</t>
  </si>
  <si>
    <t>N11V2</t>
  </si>
  <si>
    <t>N11V3</t>
  </si>
  <si>
    <t>N10V1</t>
  </si>
  <si>
    <t>N10V2</t>
  </si>
  <si>
    <t>N10V3</t>
  </si>
  <si>
    <t>N09</t>
  </si>
  <si>
    <t>N08</t>
  </si>
  <si>
    <t>N07</t>
  </si>
  <si>
    <t>N06</t>
  </si>
  <si>
    <t>N05</t>
  </si>
  <si>
    <t>N04</t>
  </si>
  <si>
    <t>N03</t>
  </si>
  <si>
    <t>N02</t>
  </si>
  <si>
    <t>10 i,ii</t>
  </si>
  <si>
    <t>4, 11</t>
  </si>
  <si>
    <t>8ii, 9</t>
  </si>
  <si>
    <t>8i,iii</t>
  </si>
  <si>
    <t>10iii</t>
  </si>
  <si>
    <t>8i</t>
  </si>
  <si>
    <t>8ii</t>
  </si>
  <si>
    <t>7ii,iii</t>
  </si>
  <si>
    <t>3, 7i</t>
  </si>
  <si>
    <t>8i,ii</t>
  </si>
  <si>
    <t>10i</t>
  </si>
  <si>
    <t>10ii</t>
  </si>
  <si>
    <t>8iii</t>
  </si>
  <si>
    <t>10i,iii, 11iii</t>
  </si>
  <si>
    <t>3, 7</t>
  </si>
  <si>
    <t>11ii</t>
  </si>
  <si>
    <t>6, 8i</t>
  </si>
  <si>
    <t>8ii, 11i</t>
  </si>
  <si>
    <t>8, 11i</t>
  </si>
  <si>
    <t>11i</t>
  </si>
  <si>
    <t>3, 4</t>
  </si>
  <si>
    <t>11iii</t>
  </si>
  <si>
    <t>6i</t>
  </si>
  <si>
    <t>6ii</t>
  </si>
  <si>
    <t>1, 2</t>
  </si>
  <si>
    <t>6i, 7i,ii</t>
  </si>
  <si>
    <t>7iii</t>
  </si>
  <si>
    <t>4i</t>
  </si>
  <si>
    <t>4ii</t>
  </si>
  <si>
    <t>2, 5</t>
  </si>
  <si>
    <t>9iii</t>
  </si>
  <si>
    <t>9i</t>
  </si>
  <si>
    <t>9ii</t>
  </si>
  <si>
    <t>1, 9iii</t>
  </si>
  <si>
    <t>7i, 8i</t>
  </si>
  <si>
    <t>7ii</t>
  </si>
  <si>
    <t>9i,ii</t>
  </si>
  <si>
    <t>1, 3, 9iii</t>
  </si>
  <si>
    <t>5ii</t>
  </si>
  <si>
    <t>5i</t>
  </si>
  <si>
    <t>6iii, 9</t>
  </si>
  <si>
    <t>4, 6i,ii</t>
  </si>
  <si>
    <t>7i</t>
  </si>
  <si>
    <t>10i,ii</t>
  </si>
  <si>
    <t>4ii, 9i</t>
  </si>
  <si>
    <t>11i,ii,iii</t>
  </si>
  <si>
    <t>11iv,v</t>
  </si>
  <si>
    <t>5, 6</t>
  </si>
  <si>
    <t>TOTAL</t>
  </si>
  <si>
    <t>Total</t>
  </si>
  <si>
    <t>%</t>
  </si>
  <si>
    <t>CIE Syllabus 9079 Paper 1</t>
  </si>
  <si>
    <t>Topic Breakdown and Analysis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</si>
</sst>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/>
    <xf numFmtId="10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3"/>
  <sheetViews>
    <sheetView tabSelected="1" workbookViewId="0">
      <selection activeCell="B18" sqref="B18"/>
    </sheetView>
  </sheetViews>
  <sheetFormatPr defaultRowHeight="13.5"/>
  <cols>
    <col min="1" max="1" width="4" style="1" bestFit="1" customWidth="1"/>
    <col min="2" max="2" width="18.875" bestFit="1" customWidth="1"/>
    <col min="3" max="3" width="7.625" customWidth="1"/>
    <col min="4" max="4" width="3.875" customWidth="1"/>
    <col min="5" max="5" width="6.125" customWidth="1"/>
    <col min="6" max="6" width="3.875" customWidth="1"/>
    <col min="7" max="7" width="4.625" bestFit="1" customWidth="1"/>
    <col min="8" max="8" width="3.875" customWidth="1"/>
    <col min="9" max="9" width="8.875" customWidth="1"/>
    <col min="10" max="10" width="3.875" customWidth="1"/>
    <col min="11" max="11" width="6.25" bestFit="1" customWidth="1"/>
    <col min="12" max="12" width="3.875" customWidth="1"/>
    <col min="13" max="13" width="6.375" customWidth="1"/>
    <col min="14" max="14" width="3.875" customWidth="1"/>
    <col min="15" max="15" width="7.25" customWidth="1"/>
    <col min="16" max="16" width="3.875" customWidth="1"/>
    <col min="17" max="17" width="6.125" customWidth="1"/>
    <col min="18" max="18" width="3.875" customWidth="1"/>
    <col min="19" max="19" width="7.25" customWidth="1"/>
    <col min="20" max="20" width="3.875" customWidth="1"/>
    <col min="21" max="21" width="4.75" bestFit="1" customWidth="1"/>
    <col min="22" max="22" width="3.875" customWidth="1"/>
    <col min="23" max="23" width="7.125" bestFit="1" customWidth="1"/>
    <col min="24" max="24" width="3.875" customWidth="1"/>
    <col min="25" max="25" width="5.625" bestFit="1" customWidth="1"/>
    <col min="26" max="26" width="3.875" customWidth="1"/>
    <col min="27" max="27" width="5.25" bestFit="1" customWidth="1"/>
    <col min="28" max="28" width="3.875" customWidth="1"/>
    <col min="29" max="29" width="7.25" bestFit="1" customWidth="1"/>
    <col min="30" max="30" width="3.875" customWidth="1"/>
    <col min="31" max="31" width="8.875" style="1"/>
  </cols>
  <sheetData>
    <row r="1" spans="1:32" ht="14.25" thickBot="1"/>
    <row r="2" spans="1:32">
      <c r="A2" s="2"/>
      <c r="B2" s="4"/>
      <c r="C2" s="17" t="s">
        <v>22</v>
      </c>
      <c r="D2" s="18"/>
      <c r="E2" s="17" t="s">
        <v>23</v>
      </c>
      <c r="F2" s="18"/>
      <c r="G2" s="17" t="s">
        <v>24</v>
      </c>
      <c r="H2" s="18"/>
      <c r="I2" s="17" t="s">
        <v>25</v>
      </c>
      <c r="J2" s="18"/>
      <c r="K2" s="17" t="s">
        <v>26</v>
      </c>
      <c r="L2" s="18"/>
      <c r="M2" s="17" t="s">
        <v>27</v>
      </c>
      <c r="N2" s="18"/>
      <c r="O2" s="17" t="s">
        <v>28</v>
      </c>
      <c r="P2" s="18"/>
      <c r="Q2" s="17" t="s">
        <v>29</v>
      </c>
      <c r="R2" s="18"/>
      <c r="S2" s="17" t="s">
        <v>30</v>
      </c>
      <c r="T2" s="18"/>
      <c r="U2" s="17" t="s">
        <v>31</v>
      </c>
      <c r="V2" s="18"/>
      <c r="W2" s="17" t="s">
        <v>32</v>
      </c>
      <c r="X2" s="18"/>
      <c r="Y2" s="17" t="s">
        <v>33</v>
      </c>
      <c r="Z2" s="18"/>
      <c r="AA2" s="17" t="s">
        <v>34</v>
      </c>
      <c r="AB2" s="18"/>
      <c r="AC2" s="17" t="s">
        <v>35</v>
      </c>
      <c r="AD2" s="18"/>
      <c r="AE2" s="1" t="s">
        <v>85</v>
      </c>
      <c r="AF2" s="1" t="s">
        <v>86</v>
      </c>
    </row>
    <row r="3" spans="1:32">
      <c r="A3" s="3">
        <v>1</v>
      </c>
      <c r="B3" s="4" t="s">
        <v>0</v>
      </c>
      <c r="C3" s="7" t="s">
        <v>36</v>
      </c>
      <c r="D3" s="9">
        <v>6</v>
      </c>
      <c r="E3" s="7">
        <v>4</v>
      </c>
      <c r="F3" s="9">
        <v>7</v>
      </c>
      <c r="G3" s="7" t="s">
        <v>43</v>
      </c>
      <c r="H3" s="9">
        <v>8</v>
      </c>
      <c r="I3" s="7" t="s">
        <v>49</v>
      </c>
      <c r="J3" s="9">
        <v>12</v>
      </c>
      <c r="K3" s="7" t="s">
        <v>52</v>
      </c>
      <c r="L3" s="9">
        <v>11</v>
      </c>
      <c r="M3" s="7" t="s">
        <v>55</v>
      </c>
      <c r="N3" s="9">
        <v>4</v>
      </c>
      <c r="O3" s="5"/>
      <c r="P3" s="9"/>
      <c r="Q3" s="7">
        <v>8</v>
      </c>
      <c r="R3" s="9">
        <v>9</v>
      </c>
      <c r="S3" s="7" t="s">
        <v>69</v>
      </c>
      <c r="T3" s="9">
        <v>6</v>
      </c>
      <c r="U3" s="5"/>
      <c r="V3" s="9"/>
      <c r="W3" s="7" t="s">
        <v>72</v>
      </c>
      <c r="X3" s="9">
        <v>7</v>
      </c>
      <c r="Y3" s="7">
        <v>5</v>
      </c>
      <c r="Z3" s="9">
        <v>8</v>
      </c>
      <c r="AA3" s="7">
        <v>1</v>
      </c>
      <c r="AB3" s="9">
        <v>4</v>
      </c>
      <c r="AC3" s="7" t="s">
        <v>81</v>
      </c>
      <c r="AD3" s="9">
        <v>8</v>
      </c>
      <c r="AE3" s="1">
        <f>D3+F3+H3+J3+L3+N3+P3+R3+T3+V3+X3+Z3+AB3+AD3</f>
        <v>90</v>
      </c>
      <c r="AF3" s="12">
        <f>AE3/$AE$19</f>
        <v>8.5714285714285715E-2</v>
      </c>
    </row>
    <row r="4" spans="1:32">
      <c r="A4" s="3">
        <v>2</v>
      </c>
      <c r="B4" s="4" t="s">
        <v>1</v>
      </c>
      <c r="C4" s="7" t="s">
        <v>37</v>
      </c>
      <c r="D4" s="9">
        <v>17</v>
      </c>
      <c r="E4" s="7">
        <v>2</v>
      </c>
      <c r="F4" s="9">
        <v>6</v>
      </c>
      <c r="G4" s="7">
        <v>9</v>
      </c>
      <c r="H4" s="9">
        <v>11</v>
      </c>
      <c r="I4" s="7" t="s">
        <v>50</v>
      </c>
      <c r="J4" s="9">
        <v>12</v>
      </c>
      <c r="K4" s="7">
        <v>7</v>
      </c>
      <c r="L4" s="9">
        <v>7</v>
      </c>
      <c r="M4" s="7">
        <v>7</v>
      </c>
      <c r="N4" s="9">
        <v>7</v>
      </c>
      <c r="O4" s="7">
        <v>10</v>
      </c>
      <c r="P4" s="9">
        <v>13</v>
      </c>
      <c r="Q4" s="7">
        <v>10</v>
      </c>
      <c r="R4" s="9">
        <v>12</v>
      </c>
      <c r="S4" s="7">
        <v>11</v>
      </c>
      <c r="T4" s="9">
        <v>10</v>
      </c>
      <c r="U4" s="7">
        <v>10</v>
      </c>
      <c r="V4" s="9">
        <v>10</v>
      </c>
      <c r="W4" s="7" t="s">
        <v>42</v>
      </c>
      <c r="X4" s="9">
        <v>4</v>
      </c>
      <c r="Y4" s="7" t="s">
        <v>76</v>
      </c>
      <c r="Z4" s="9">
        <v>14</v>
      </c>
      <c r="AA4" s="7">
        <v>10</v>
      </c>
      <c r="AB4" s="9">
        <v>12</v>
      </c>
      <c r="AC4" s="7" t="s">
        <v>82</v>
      </c>
      <c r="AD4" s="9">
        <v>4</v>
      </c>
      <c r="AE4" s="1">
        <f t="shared" ref="AE4:AE18" si="0">D4+F4+H4+J4+L4+N4+P4+R4+T4+V4+X4+Z4+AB4+AD4</f>
        <v>139</v>
      </c>
      <c r="AF4" s="12">
        <f t="shared" ref="AF4:AF18" si="1">AE4/$AE$19</f>
        <v>0.13238095238095238</v>
      </c>
    </row>
    <row r="5" spans="1:32">
      <c r="A5" s="3">
        <v>3</v>
      </c>
      <c r="B5" s="4" t="s">
        <v>2</v>
      </c>
      <c r="C5" s="7" t="s">
        <v>38</v>
      </c>
      <c r="D5" s="9">
        <v>10</v>
      </c>
      <c r="E5" s="7">
        <v>9</v>
      </c>
      <c r="F5" s="9">
        <v>9</v>
      </c>
      <c r="G5" s="7" t="s">
        <v>44</v>
      </c>
      <c r="H5" s="9">
        <v>6</v>
      </c>
      <c r="I5" s="7" t="s">
        <v>47</v>
      </c>
      <c r="J5" s="9">
        <v>2</v>
      </c>
      <c r="K5" s="7" t="s">
        <v>53</v>
      </c>
      <c r="L5" s="9">
        <v>7</v>
      </c>
      <c r="M5" s="7">
        <v>2</v>
      </c>
      <c r="N5" s="9">
        <v>4</v>
      </c>
      <c r="O5" s="7"/>
      <c r="P5" s="9"/>
      <c r="Q5" s="7"/>
      <c r="R5" s="9"/>
      <c r="S5" s="7">
        <v>6</v>
      </c>
      <c r="T5" s="9">
        <v>7</v>
      </c>
      <c r="U5" s="7">
        <v>5</v>
      </c>
      <c r="V5" s="9">
        <v>7</v>
      </c>
      <c r="W5" s="7">
        <v>7</v>
      </c>
      <c r="X5" s="9">
        <v>8</v>
      </c>
      <c r="Y5" s="7"/>
      <c r="Z5" s="9"/>
      <c r="AA5" s="7">
        <v>5</v>
      </c>
      <c r="AB5" s="9">
        <v>7</v>
      </c>
      <c r="AC5" s="7">
        <v>9</v>
      </c>
      <c r="AD5" s="9">
        <v>9</v>
      </c>
      <c r="AE5" s="1">
        <f t="shared" si="0"/>
        <v>76</v>
      </c>
      <c r="AF5" s="12">
        <f t="shared" si="1"/>
        <v>7.2380952380952379E-2</v>
      </c>
    </row>
    <row r="6" spans="1:32">
      <c r="A6" s="3">
        <v>4</v>
      </c>
      <c r="B6" s="4" t="s">
        <v>3</v>
      </c>
      <c r="C6" s="7">
        <v>5</v>
      </c>
      <c r="D6" s="9">
        <v>6</v>
      </c>
      <c r="E6" s="7">
        <v>6</v>
      </c>
      <c r="F6" s="9">
        <v>8</v>
      </c>
      <c r="G6" s="7">
        <v>4</v>
      </c>
      <c r="H6" s="9">
        <v>6</v>
      </c>
      <c r="I6" s="7">
        <v>9</v>
      </c>
      <c r="J6" s="9">
        <v>8</v>
      </c>
      <c r="K6" s="7">
        <v>4</v>
      </c>
      <c r="L6" s="9">
        <v>5</v>
      </c>
      <c r="M6" s="7">
        <v>8</v>
      </c>
      <c r="N6" s="9">
        <v>8</v>
      </c>
      <c r="O6" s="7">
        <v>5</v>
      </c>
      <c r="P6" s="9">
        <v>7</v>
      </c>
      <c r="Q6" s="7">
        <v>6</v>
      </c>
      <c r="R6" s="9">
        <v>8</v>
      </c>
      <c r="S6" s="7">
        <v>7</v>
      </c>
      <c r="T6" s="9">
        <v>7</v>
      </c>
      <c r="U6" s="7">
        <v>3</v>
      </c>
      <c r="V6" s="9">
        <v>6</v>
      </c>
      <c r="W6" s="7">
        <v>2</v>
      </c>
      <c r="X6" s="9">
        <v>5</v>
      </c>
      <c r="Y6" s="7">
        <v>3</v>
      </c>
      <c r="Z6" s="9">
        <v>5</v>
      </c>
      <c r="AA6" s="7">
        <v>6</v>
      </c>
      <c r="AB6" s="9">
        <v>7</v>
      </c>
      <c r="AC6" s="7">
        <v>3</v>
      </c>
      <c r="AD6" s="9">
        <v>6</v>
      </c>
      <c r="AE6" s="1">
        <f t="shared" si="0"/>
        <v>92</v>
      </c>
      <c r="AF6" s="12">
        <f t="shared" si="1"/>
        <v>8.7619047619047624E-2</v>
      </c>
    </row>
    <row r="7" spans="1:32">
      <c r="A7" s="3">
        <v>5</v>
      </c>
      <c r="B7" s="4" t="s">
        <v>4</v>
      </c>
      <c r="C7" s="7">
        <v>3</v>
      </c>
      <c r="D7" s="9">
        <v>5</v>
      </c>
      <c r="E7" s="7">
        <v>5</v>
      </c>
      <c r="F7" s="9">
        <v>7</v>
      </c>
      <c r="G7" s="7">
        <v>5</v>
      </c>
      <c r="H7" s="9">
        <v>7</v>
      </c>
      <c r="I7" s="7">
        <v>4</v>
      </c>
      <c r="J7" s="9">
        <v>6</v>
      </c>
      <c r="K7" s="7">
        <v>2</v>
      </c>
      <c r="L7" s="9">
        <v>4</v>
      </c>
      <c r="M7" s="7" t="s">
        <v>56</v>
      </c>
      <c r="N7" s="9">
        <v>8</v>
      </c>
      <c r="O7" s="7" t="s">
        <v>60</v>
      </c>
      <c r="P7" s="9">
        <v>8</v>
      </c>
      <c r="Q7" s="7" t="s">
        <v>65</v>
      </c>
      <c r="R7" s="9">
        <v>12</v>
      </c>
      <c r="S7" s="7">
        <v>5</v>
      </c>
      <c r="T7" s="9">
        <v>6</v>
      </c>
      <c r="U7" s="7">
        <v>2</v>
      </c>
      <c r="V7" s="9">
        <v>4</v>
      </c>
      <c r="W7" s="7" t="s">
        <v>73</v>
      </c>
      <c r="X7" s="9">
        <v>13</v>
      </c>
      <c r="Y7" s="7" t="s">
        <v>77</v>
      </c>
      <c r="Z7" s="9">
        <v>10</v>
      </c>
      <c r="AA7" s="7">
        <v>2</v>
      </c>
      <c r="AB7" s="9">
        <v>5</v>
      </c>
      <c r="AC7" s="7" t="s">
        <v>83</v>
      </c>
      <c r="AD7" s="9">
        <v>12</v>
      </c>
      <c r="AE7" s="1">
        <f t="shared" si="0"/>
        <v>107</v>
      </c>
      <c r="AF7" s="12">
        <f t="shared" si="1"/>
        <v>0.1019047619047619</v>
      </c>
    </row>
    <row r="8" spans="1:32">
      <c r="A8" s="3">
        <v>6</v>
      </c>
      <c r="B8" s="4" t="s">
        <v>5</v>
      </c>
      <c r="C8" s="7" t="s">
        <v>39</v>
      </c>
      <c r="D8" s="9">
        <v>6</v>
      </c>
      <c r="E8" s="7">
        <v>3</v>
      </c>
      <c r="F8" s="9">
        <v>7</v>
      </c>
      <c r="G8" s="7">
        <v>6</v>
      </c>
      <c r="H8" s="9">
        <v>8</v>
      </c>
      <c r="I8" s="7">
        <v>5</v>
      </c>
      <c r="J8" s="9">
        <v>6</v>
      </c>
      <c r="K8" s="7">
        <v>9</v>
      </c>
      <c r="L8" s="9">
        <v>8</v>
      </c>
      <c r="M8" s="7">
        <v>10</v>
      </c>
      <c r="N8" s="9">
        <v>9</v>
      </c>
      <c r="O8" s="7">
        <v>9</v>
      </c>
      <c r="P8" s="9">
        <v>10</v>
      </c>
      <c r="Q8" s="7">
        <v>4</v>
      </c>
      <c r="R8" s="9">
        <v>7</v>
      </c>
      <c r="S8" s="7">
        <v>10</v>
      </c>
      <c r="T8" s="9">
        <v>10</v>
      </c>
      <c r="U8" s="7">
        <v>4</v>
      </c>
      <c r="V8" s="9">
        <v>7</v>
      </c>
      <c r="W8" s="7">
        <v>4</v>
      </c>
      <c r="X8" s="9">
        <v>7</v>
      </c>
      <c r="Y8" s="7">
        <v>8</v>
      </c>
      <c r="Z8" s="9">
        <v>8</v>
      </c>
      <c r="AA8" s="7">
        <v>7</v>
      </c>
      <c r="AB8" s="9">
        <v>8</v>
      </c>
      <c r="AC8" s="7">
        <v>7</v>
      </c>
      <c r="AD8" s="9">
        <v>7</v>
      </c>
      <c r="AE8" s="1">
        <f t="shared" si="0"/>
        <v>108</v>
      </c>
      <c r="AF8" s="12">
        <f t="shared" si="1"/>
        <v>0.10285714285714286</v>
      </c>
    </row>
    <row r="9" spans="1:32">
      <c r="A9" s="3">
        <v>7</v>
      </c>
      <c r="B9" s="4" t="s">
        <v>6</v>
      </c>
      <c r="C9" s="7">
        <v>6</v>
      </c>
      <c r="D9" s="9">
        <v>7</v>
      </c>
      <c r="E9" s="7">
        <v>10</v>
      </c>
      <c r="F9" s="9">
        <v>10</v>
      </c>
      <c r="G9" s="7">
        <v>2</v>
      </c>
      <c r="H9" s="9">
        <v>4</v>
      </c>
      <c r="I9" s="7">
        <v>6</v>
      </c>
      <c r="J9" s="9">
        <v>7</v>
      </c>
      <c r="K9" s="7">
        <v>5</v>
      </c>
      <c r="L9" s="9">
        <v>6</v>
      </c>
      <c r="M9" s="7">
        <v>9</v>
      </c>
      <c r="N9" s="9">
        <v>9</v>
      </c>
      <c r="O9" s="7">
        <v>8</v>
      </c>
      <c r="P9" s="9">
        <v>10</v>
      </c>
      <c r="Q9" s="7">
        <v>3</v>
      </c>
      <c r="R9" s="9">
        <v>4</v>
      </c>
      <c r="S9" s="7">
        <v>4</v>
      </c>
      <c r="T9" s="9">
        <v>6</v>
      </c>
      <c r="U9" s="7">
        <v>6</v>
      </c>
      <c r="V9" s="9">
        <v>9</v>
      </c>
      <c r="W9" s="7">
        <v>6</v>
      </c>
      <c r="X9" s="9">
        <v>8</v>
      </c>
      <c r="Y9" s="7">
        <v>2</v>
      </c>
      <c r="Z9" s="9">
        <v>6</v>
      </c>
      <c r="AA9" s="7">
        <v>3</v>
      </c>
      <c r="AB9" s="9">
        <v>6</v>
      </c>
      <c r="AC9" s="7">
        <v>2</v>
      </c>
      <c r="AD9" s="9">
        <v>5</v>
      </c>
      <c r="AE9" s="1">
        <f t="shared" si="0"/>
        <v>97</v>
      </c>
      <c r="AF9" s="12">
        <f t="shared" si="1"/>
        <v>9.2380952380952383E-2</v>
      </c>
    </row>
    <row r="10" spans="1:32">
      <c r="A10" s="3">
        <v>8</v>
      </c>
      <c r="B10" s="4" t="s">
        <v>7</v>
      </c>
      <c r="C10" s="7">
        <v>1</v>
      </c>
      <c r="D10" s="9">
        <v>3</v>
      </c>
      <c r="E10" s="7">
        <v>1</v>
      </c>
      <c r="F10" s="9">
        <v>5</v>
      </c>
      <c r="G10" s="7">
        <v>1</v>
      </c>
      <c r="H10" s="9">
        <v>3</v>
      </c>
      <c r="I10" s="7">
        <v>2</v>
      </c>
      <c r="J10" s="9">
        <v>4</v>
      </c>
      <c r="K10" s="7">
        <v>1</v>
      </c>
      <c r="L10" s="9">
        <v>4</v>
      </c>
      <c r="M10" s="7">
        <v>1</v>
      </c>
      <c r="N10" s="9">
        <v>3</v>
      </c>
      <c r="O10" s="7">
        <v>3</v>
      </c>
      <c r="P10" s="9">
        <v>6</v>
      </c>
      <c r="Q10" s="7">
        <v>1</v>
      </c>
      <c r="R10" s="9">
        <v>3</v>
      </c>
      <c r="S10" s="7">
        <v>3</v>
      </c>
      <c r="T10" s="9">
        <v>5</v>
      </c>
      <c r="U10" s="7">
        <v>1</v>
      </c>
      <c r="V10" s="9">
        <v>3</v>
      </c>
      <c r="W10" s="7"/>
      <c r="X10" s="9"/>
      <c r="Y10" s="7">
        <v>1</v>
      </c>
      <c r="Z10" s="9">
        <v>4</v>
      </c>
      <c r="AA10" s="7"/>
      <c r="AB10" s="9"/>
      <c r="AC10" s="7">
        <v>1</v>
      </c>
      <c r="AD10" s="9">
        <v>3</v>
      </c>
      <c r="AE10" s="1">
        <f t="shared" si="0"/>
        <v>46</v>
      </c>
      <c r="AF10" s="12">
        <f t="shared" si="1"/>
        <v>4.3809523809523812E-2</v>
      </c>
    </row>
    <row r="11" spans="1:32">
      <c r="A11" s="3">
        <v>9</v>
      </c>
      <c r="B11" s="4" t="s">
        <v>8</v>
      </c>
      <c r="C11" s="7"/>
      <c r="D11" s="9"/>
      <c r="E11" s="7"/>
      <c r="F11" s="9"/>
      <c r="G11" s="7"/>
      <c r="H11" s="9"/>
      <c r="I11" s="7"/>
      <c r="J11" s="9"/>
      <c r="K11" s="7"/>
      <c r="L11" s="9"/>
      <c r="M11" s="7"/>
      <c r="N11" s="9"/>
      <c r="O11" s="7"/>
      <c r="P11" s="9"/>
      <c r="Q11" s="7"/>
      <c r="R11" s="9"/>
      <c r="S11" s="7"/>
      <c r="T11" s="9"/>
      <c r="U11" s="7"/>
      <c r="V11" s="9"/>
      <c r="W11" s="7"/>
      <c r="X11" s="9"/>
      <c r="Y11" s="7"/>
      <c r="Z11" s="9"/>
      <c r="AA11" s="7"/>
      <c r="AB11" s="9"/>
      <c r="AC11" s="7"/>
      <c r="AD11" s="9"/>
      <c r="AE11" s="1">
        <f t="shared" si="0"/>
        <v>0</v>
      </c>
      <c r="AF11" s="12">
        <f t="shared" si="1"/>
        <v>0</v>
      </c>
    </row>
    <row r="12" spans="1:32">
      <c r="A12" s="2" t="s">
        <v>16</v>
      </c>
      <c r="B12" s="4" t="s">
        <v>9</v>
      </c>
      <c r="C12" s="7"/>
      <c r="D12" s="9"/>
      <c r="E12" s="7"/>
      <c r="F12" s="9"/>
      <c r="G12" s="7"/>
      <c r="H12" s="9"/>
      <c r="I12" s="7"/>
      <c r="J12" s="9"/>
      <c r="K12" s="7"/>
      <c r="L12" s="9"/>
      <c r="M12" s="7" t="s">
        <v>57</v>
      </c>
      <c r="N12" s="9">
        <v>4</v>
      </c>
      <c r="O12" s="7" t="s">
        <v>61</v>
      </c>
      <c r="P12" s="9">
        <v>9</v>
      </c>
      <c r="Q12" s="7" t="s">
        <v>66</v>
      </c>
      <c r="R12" s="9">
        <v>4</v>
      </c>
      <c r="S12" s="7" t="s">
        <v>68</v>
      </c>
      <c r="T12" s="9">
        <v>3</v>
      </c>
      <c r="U12" s="7" t="s">
        <v>70</v>
      </c>
      <c r="V12" s="9">
        <v>8</v>
      </c>
      <c r="W12" s="7" t="s">
        <v>47</v>
      </c>
      <c r="X12" s="9">
        <v>4</v>
      </c>
      <c r="Y12" s="7" t="s">
        <v>78</v>
      </c>
      <c r="Z12" s="9">
        <v>3</v>
      </c>
      <c r="AA12" s="7" t="s">
        <v>80</v>
      </c>
      <c r="AB12" s="9">
        <v>9</v>
      </c>
      <c r="AC12" s="7" t="s">
        <v>46</v>
      </c>
      <c r="AD12" s="9">
        <v>4</v>
      </c>
      <c r="AE12" s="1">
        <f t="shared" si="0"/>
        <v>48</v>
      </c>
      <c r="AF12" s="12">
        <f t="shared" si="1"/>
        <v>4.5714285714285714E-2</v>
      </c>
    </row>
    <row r="13" spans="1:32">
      <c r="A13" s="2" t="s">
        <v>17</v>
      </c>
      <c r="B13" s="4" t="s">
        <v>10</v>
      </c>
      <c r="C13" s="7">
        <v>2</v>
      </c>
      <c r="D13" s="9">
        <v>3</v>
      </c>
      <c r="E13" s="7"/>
      <c r="F13" s="9"/>
      <c r="G13" s="7"/>
      <c r="H13" s="9"/>
      <c r="I13" s="7"/>
      <c r="J13" s="9"/>
      <c r="K13" s="7">
        <v>3</v>
      </c>
      <c r="L13" s="9">
        <v>4</v>
      </c>
      <c r="M13" s="7" t="s">
        <v>58</v>
      </c>
      <c r="N13" s="9">
        <v>3</v>
      </c>
      <c r="O13" s="7" t="s">
        <v>62</v>
      </c>
      <c r="P13" s="9">
        <v>2</v>
      </c>
      <c r="Q13" s="7"/>
      <c r="R13" s="9"/>
      <c r="S13" s="7"/>
      <c r="T13" s="9"/>
      <c r="U13" s="7" t="s">
        <v>42</v>
      </c>
      <c r="V13" s="9">
        <v>2</v>
      </c>
      <c r="W13" s="7" t="s">
        <v>41</v>
      </c>
      <c r="X13" s="9">
        <v>4</v>
      </c>
      <c r="Y13" s="7"/>
      <c r="Z13" s="9"/>
      <c r="AA13" s="7"/>
      <c r="AB13" s="9"/>
      <c r="AC13" s="7"/>
      <c r="AD13" s="9"/>
      <c r="AE13" s="1">
        <f t="shared" si="0"/>
        <v>18</v>
      </c>
      <c r="AF13" s="12">
        <f t="shared" si="1"/>
        <v>1.7142857142857144E-2</v>
      </c>
    </row>
    <row r="14" spans="1:32">
      <c r="A14" s="2" t="s">
        <v>18</v>
      </c>
      <c r="B14" s="4" t="s">
        <v>11</v>
      </c>
      <c r="C14" s="7">
        <v>7</v>
      </c>
      <c r="D14" s="9">
        <v>7</v>
      </c>
      <c r="E14" s="7" t="s">
        <v>41</v>
      </c>
      <c r="F14" s="9">
        <v>4</v>
      </c>
      <c r="G14" s="7" t="s">
        <v>45</v>
      </c>
      <c r="H14" s="9">
        <v>6</v>
      </c>
      <c r="I14" s="7" t="s">
        <v>54</v>
      </c>
      <c r="J14" s="9">
        <v>11</v>
      </c>
      <c r="K14" s="7">
        <v>10</v>
      </c>
      <c r="L14" s="9">
        <v>10</v>
      </c>
      <c r="M14" s="7">
        <v>5</v>
      </c>
      <c r="N14" s="9">
        <v>7</v>
      </c>
      <c r="O14" s="7" t="s">
        <v>63</v>
      </c>
      <c r="P14" s="9">
        <v>4</v>
      </c>
      <c r="Q14" s="7">
        <v>7</v>
      </c>
      <c r="R14" s="9">
        <v>8</v>
      </c>
      <c r="S14" s="7">
        <v>8</v>
      </c>
      <c r="T14" s="9">
        <v>8</v>
      </c>
      <c r="U14" s="7">
        <v>9</v>
      </c>
      <c r="V14" s="9">
        <v>10</v>
      </c>
      <c r="W14" s="7" t="s">
        <v>74</v>
      </c>
      <c r="X14" s="9">
        <v>4</v>
      </c>
      <c r="Y14" s="7" t="s">
        <v>79</v>
      </c>
      <c r="Z14" s="9">
        <v>7</v>
      </c>
      <c r="AA14" s="7">
        <v>8</v>
      </c>
      <c r="AB14" s="9">
        <v>9</v>
      </c>
      <c r="AC14" s="7">
        <v>8</v>
      </c>
      <c r="AD14" s="9">
        <v>7</v>
      </c>
      <c r="AE14" s="1">
        <f t="shared" si="0"/>
        <v>102</v>
      </c>
      <c r="AF14" s="12">
        <f t="shared" si="1"/>
        <v>9.7142857142857142E-2</v>
      </c>
    </row>
    <row r="15" spans="1:32">
      <c r="A15" s="3">
        <v>10</v>
      </c>
      <c r="B15" s="4" t="s">
        <v>12</v>
      </c>
      <c r="C15" s="7"/>
      <c r="D15" s="9"/>
      <c r="E15" s="7"/>
      <c r="F15" s="9"/>
      <c r="G15" s="7"/>
      <c r="H15" s="9"/>
      <c r="I15" s="7">
        <v>1</v>
      </c>
      <c r="J15" s="9">
        <v>3</v>
      </c>
      <c r="K15" s="7"/>
      <c r="L15" s="9"/>
      <c r="M15" s="7"/>
      <c r="N15" s="9"/>
      <c r="O15" s="7"/>
      <c r="P15" s="9"/>
      <c r="Q15" s="7"/>
      <c r="R15" s="9"/>
      <c r="S15" s="7"/>
      <c r="T15" s="9"/>
      <c r="U15" s="7"/>
      <c r="V15" s="9"/>
      <c r="W15" s="7"/>
      <c r="X15" s="9"/>
      <c r="Y15" s="7"/>
      <c r="Z15" s="9"/>
      <c r="AA15" s="7"/>
      <c r="AB15" s="9"/>
      <c r="AC15" s="7"/>
      <c r="AD15" s="9"/>
      <c r="AE15" s="1">
        <f t="shared" si="0"/>
        <v>3</v>
      </c>
      <c r="AF15" s="12">
        <f t="shared" si="1"/>
        <v>2.8571428571428571E-3</v>
      </c>
    </row>
    <row r="16" spans="1:32">
      <c r="A16" s="2" t="s">
        <v>19</v>
      </c>
      <c r="B16" s="4" t="s">
        <v>13</v>
      </c>
      <c r="C16" s="7"/>
      <c r="D16" s="9"/>
      <c r="E16" s="7"/>
      <c r="F16" s="9"/>
      <c r="G16" s="7" t="s">
        <v>46</v>
      </c>
      <c r="H16" s="9">
        <v>5</v>
      </c>
      <c r="I16" s="7"/>
      <c r="J16" s="9"/>
      <c r="K16" s="7"/>
      <c r="L16" s="9"/>
      <c r="M16" s="7" t="s">
        <v>51</v>
      </c>
      <c r="N16" s="9">
        <v>5</v>
      </c>
      <c r="O16" s="7" t="s">
        <v>64</v>
      </c>
      <c r="P16" s="9">
        <v>3</v>
      </c>
      <c r="Q16" s="7" t="s">
        <v>67</v>
      </c>
      <c r="R16" s="9">
        <v>4</v>
      </c>
      <c r="S16" s="7">
        <v>2</v>
      </c>
      <c r="T16" s="9">
        <v>4</v>
      </c>
      <c r="U16" s="7" t="s">
        <v>71</v>
      </c>
      <c r="V16" s="9">
        <v>4</v>
      </c>
      <c r="W16" s="7" t="s">
        <v>40</v>
      </c>
      <c r="X16" s="9">
        <v>4</v>
      </c>
      <c r="Y16" s="7"/>
      <c r="Z16" s="9"/>
      <c r="AA16" s="7"/>
      <c r="AB16" s="9"/>
      <c r="AC16" s="7" t="s">
        <v>47</v>
      </c>
      <c r="AD16" s="9">
        <v>4</v>
      </c>
      <c r="AE16" s="1">
        <f t="shared" si="0"/>
        <v>33</v>
      </c>
      <c r="AF16" s="12">
        <f t="shared" si="1"/>
        <v>3.1428571428571431E-2</v>
      </c>
    </row>
    <row r="17" spans="1:32">
      <c r="A17" s="2" t="s">
        <v>20</v>
      </c>
      <c r="B17" s="4" t="s">
        <v>14</v>
      </c>
      <c r="C17" s="7" t="s">
        <v>40</v>
      </c>
      <c r="D17" s="9">
        <v>5</v>
      </c>
      <c r="E17" s="7" t="s">
        <v>42</v>
      </c>
      <c r="F17" s="9">
        <v>4</v>
      </c>
      <c r="G17" s="7" t="s">
        <v>47</v>
      </c>
      <c r="H17" s="9">
        <v>7</v>
      </c>
      <c r="I17" s="7" t="s">
        <v>51</v>
      </c>
      <c r="J17" s="9">
        <v>4</v>
      </c>
      <c r="K17" s="7" t="s">
        <v>51</v>
      </c>
      <c r="L17" s="9">
        <v>9</v>
      </c>
      <c r="M17" s="7"/>
      <c r="N17" s="9"/>
      <c r="O17" s="7"/>
      <c r="P17" s="9"/>
      <c r="Q17" s="7" t="s">
        <v>68</v>
      </c>
      <c r="R17" s="9">
        <v>4</v>
      </c>
      <c r="S17" s="7"/>
      <c r="T17" s="9"/>
      <c r="U17" s="7" t="s">
        <v>48</v>
      </c>
      <c r="V17" s="9">
        <v>5</v>
      </c>
      <c r="W17" s="7" t="s">
        <v>75</v>
      </c>
      <c r="X17" s="9">
        <v>3</v>
      </c>
      <c r="Y17" s="7" t="s">
        <v>40</v>
      </c>
      <c r="Z17" s="9">
        <v>6</v>
      </c>
      <c r="AA17" s="7" t="s">
        <v>68</v>
      </c>
      <c r="AB17" s="9">
        <v>5</v>
      </c>
      <c r="AC17" s="7"/>
      <c r="AD17" s="9"/>
      <c r="AE17" s="1">
        <f t="shared" si="0"/>
        <v>52</v>
      </c>
      <c r="AF17" s="12">
        <f t="shared" si="1"/>
        <v>4.9523809523809526E-2</v>
      </c>
    </row>
    <row r="18" spans="1:32">
      <c r="A18" s="2" t="s">
        <v>21</v>
      </c>
      <c r="B18" s="4" t="s">
        <v>15</v>
      </c>
      <c r="C18" s="5"/>
      <c r="D18" s="9"/>
      <c r="E18" s="7">
        <v>7</v>
      </c>
      <c r="F18" s="9">
        <v>8</v>
      </c>
      <c r="G18" s="7" t="s">
        <v>48</v>
      </c>
      <c r="H18" s="9">
        <v>4</v>
      </c>
      <c r="I18" s="5"/>
      <c r="J18" s="9"/>
      <c r="K18" s="5"/>
      <c r="L18" s="9"/>
      <c r="M18" s="7" t="s">
        <v>59</v>
      </c>
      <c r="N18" s="9">
        <v>4</v>
      </c>
      <c r="O18" s="7" t="s">
        <v>59</v>
      </c>
      <c r="P18" s="9">
        <v>3</v>
      </c>
      <c r="Q18" s="7"/>
      <c r="R18" s="9"/>
      <c r="S18" s="7" t="s">
        <v>67</v>
      </c>
      <c r="T18" s="9">
        <v>3</v>
      </c>
      <c r="U18" s="7"/>
      <c r="V18" s="9"/>
      <c r="W18" s="7" t="s">
        <v>46</v>
      </c>
      <c r="X18" s="9">
        <v>4</v>
      </c>
      <c r="Y18" s="7" t="s">
        <v>71</v>
      </c>
      <c r="Z18" s="9">
        <v>4</v>
      </c>
      <c r="AA18" s="7" t="s">
        <v>63</v>
      </c>
      <c r="AB18" s="9">
        <v>3</v>
      </c>
      <c r="AC18" s="7">
        <v>4</v>
      </c>
      <c r="AD18" s="16">
        <v>6</v>
      </c>
      <c r="AE18" s="1">
        <f t="shared" si="0"/>
        <v>39</v>
      </c>
      <c r="AF18" s="12">
        <f t="shared" si="1"/>
        <v>3.7142857142857144E-2</v>
      </c>
    </row>
    <row r="19" spans="1:32" ht="14.25" thickBot="1">
      <c r="A19" s="2"/>
      <c r="B19" s="11" t="s">
        <v>84</v>
      </c>
      <c r="C19" s="6"/>
      <c r="D19" s="10">
        <f>SUM(D3:D18)</f>
        <v>75</v>
      </c>
      <c r="E19" s="6"/>
      <c r="F19" s="10">
        <f>SUM(F3:F18)</f>
        <v>75</v>
      </c>
      <c r="G19" s="6"/>
      <c r="H19" s="10">
        <f>SUM(H3:H18)</f>
        <v>75</v>
      </c>
      <c r="I19" s="6"/>
      <c r="J19" s="10">
        <f>SUM(J3:J18)</f>
        <v>75</v>
      </c>
      <c r="K19" s="6"/>
      <c r="L19" s="10">
        <f>SUM(L3:L18)</f>
        <v>75</v>
      </c>
      <c r="M19" s="6"/>
      <c r="N19" s="10">
        <f>SUM(N3:N18)</f>
        <v>75</v>
      </c>
      <c r="O19" s="8"/>
      <c r="P19" s="10">
        <f>SUM(P3:P18)</f>
        <v>75</v>
      </c>
      <c r="Q19" s="6"/>
      <c r="R19" s="10">
        <f>SUM(R3:R18)</f>
        <v>75</v>
      </c>
      <c r="S19" s="6"/>
      <c r="T19" s="10">
        <f>SUM(T3:T18)</f>
        <v>75</v>
      </c>
      <c r="U19" s="6"/>
      <c r="V19" s="10">
        <f>SUM(V3:V18)</f>
        <v>75</v>
      </c>
      <c r="W19" s="6"/>
      <c r="X19" s="10">
        <f>SUM(X3:X18)</f>
        <v>75</v>
      </c>
      <c r="Y19" s="6"/>
      <c r="Z19" s="10">
        <f>SUM(Z3:Z18)</f>
        <v>75</v>
      </c>
      <c r="AA19" s="8"/>
      <c r="AB19" s="10">
        <f>SUM(AB3:AB18)</f>
        <v>75</v>
      </c>
      <c r="AC19" s="15"/>
      <c r="AD19" s="3">
        <f>SUM(AD3:AD18)</f>
        <v>75</v>
      </c>
      <c r="AE19" s="13">
        <f>SUM(AE3:AE18)</f>
        <v>1050</v>
      </c>
      <c r="AF19" s="14">
        <f>SUM(AF3:AF18)</f>
        <v>0.99999999999999989</v>
      </c>
    </row>
    <row r="20" spans="1:3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2" ht="14.25" thickBot="1"/>
    <row r="22" spans="1:32">
      <c r="W22" s="19" t="s">
        <v>87</v>
      </c>
      <c r="X22" s="20"/>
      <c r="Y22" s="20"/>
      <c r="Z22" s="20"/>
      <c r="AA22" s="20"/>
      <c r="AB22" s="20"/>
      <c r="AC22" s="20"/>
      <c r="AD22" s="21"/>
    </row>
    <row r="23" spans="1:32" ht="14.25" thickBot="1">
      <c r="W23" s="22" t="s">
        <v>88</v>
      </c>
      <c r="X23" s="23"/>
      <c r="Y23" s="23"/>
      <c r="Z23" s="23"/>
      <c r="AA23" s="23"/>
      <c r="AB23" s="23"/>
      <c r="AC23" s="23"/>
      <c r="AD23" s="24"/>
    </row>
  </sheetData>
  <mergeCells count="16">
    <mergeCell ref="M2:N2"/>
    <mergeCell ref="C2:D2"/>
    <mergeCell ref="E2:F2"/>
    <mergeCell ref="G2:H2"/>
    <mergeCell ref="I2:J2"/>
    <mergeCell ref="K2:L2"/>
    <mergeCell ref="AA2:AB2"/>
    <mergeCell ref="AC2:AD2"/>
    <mergeCell ref="W22:AD22"/>
    <mergeCell ref="W23:AD23"/>
    <mergeCell ref="O2:P2"/>
    <mergeCell ref="Q2:R2"/>
    <mergeCell ref="S2:T2"/>
    <mergeCell ref="U2:V2"/>
    <mergeCell ref="W2:X2"/>
    <mergeCell ref="Y2:Z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timoteo</dc:creator>
  <cp:lastModifiedBy>User</cp:lastModifiedBy>
  <dcterms:created xsi:type="dcterms:W3CDTF">2013-01-12T03:17:19Z</dcterms:created>
  <dcterms:modified xsi:type="dcterms:W3CDTF">2013-01-14T00:17:54Z</dcterms:modified>
</cp:coreProperties>
</file>